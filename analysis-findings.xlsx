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a529a01fb145a1" /></Relationships>
</file>

<file path=xl/workbook.xml><?xml version="1.0" encoding="utf-8"?>
<x:workbook xmlns:x="http://schemas.openxmlformats.org/spreadsheetml/2006/main">
  <x:sheets>
    <x:sheet xmlns:r="http://schemas.openxmlformats.org/officeDocument/2006/relationships" name="2026-W18" sheetId="1" r:id="R6280d0f49ed04979"/>
  </x:sheets>
</x:workbook>
</file>

<file path=xl/sharedStrings.xml><?xml version="1.0" encoding="utf-8"?>
<x:sst xmlns:x="http://schemas.openxmlformats.org/spreadsheetml/2006/main">
  <x:si>
    <x:t xml:space="preserve">Weekly Analysis Findings - 2026-W18</x:t>
  </x:si>
  <x:si>
    <x:t xml:space="preserve">Metric</x:t>
  </x:si>
  <x:si>
    <x:t xml:space="preserve">Value</x:t>
  </x:si>
  <x:si>
    <x:t xml:space="preserve">Week</x:t>
  </x:si>
  <x:si>
    <x:t xml:space="preserve">Bias</x:t>
  </x:si>
  <x:si>
    <x:t xml:space="preserve">Notes</x:t>
  </x:si>
  <x:si>
    <x:t xml:space="preserve">Advance Count</x:t>
  </x:si>
  <x:si>
    <x:t xml:space="preserve">2026-W18</x:t>
  </x:si>
  <x:si>
    <x:t xml:space="preserve">BUY DIPS</x:t>
  </x:si>
  <x:si>
    <x:t xml:space="preserve">Prompt 1 tape check: STRONG BULL</x:t>
  </x:si>
  <x:si>
    <x:t xml:space="preserve">Pass Count</x:t>
  </x:si>
  <x:si>
    <x:t xml:space="preserve">Primary Style</x:t>
  </x:si>
  <x:si>
    <x:t xml:space="preserve">V1 quality compounders</x:t>
  </x:si>
  <x:si>
    <x:t xml:space="preserve">Use V2 only selectively</x:t>
  </x:si>
  <x:si>
    <x:t xml:space="preserve">Watch Count</x:t>
  </x:si>
  <x:si>
    <x:t xml:space="preserve">Recorder</x:t>
  </x:si>
  <x:si>
    <x:t xml:space="preserve">Codex</x:t>
  </x:si>
  <x:si>
    <x:t xml:space="preserve">Single workbook only; unlock before edits if needed</x:t>
  </x:si>
  <x:si>
    <x:t xml:space="preserve">Best for long: 80+</x:t>
  </x:si>
  <x:si>
    <x:t xml:space="preserve">Best for long: &gt;13/25</x:t>
  </x:si>
  <x:si>
    <x:t xml:space="preserve">Best for long: 1 of 3</x:t>
  </x:si>
  <x:si>
    <x:t xml:space="preserve">Best for long: &lt;55</x:t>
  </x:si>
  <x:si>
    <x:t xml:space="preserve">Best for long: DECELERATING</x:t>
  </x:si>
  <x:si>
    <x:t xml:space="preserve">Best for long: Written plan</x:t>
  </x:si>
  <x:si>
    <x:t xml:space="preserve">Best for long: EUR mirror</x:t>
  </x:si>
  <x:si>
    <x:t xml:space="preserve">Date</x:t>
  </x:si>
  <x:si>
    <x:t xml:space="preserve">Ticker</x:t>
  </x:si>
  <x:si>
    <x:t xml:space="preserve">Current Price (EUR)</x:t>
  </x:si>
  <x:si>
    <x:t xml:space="preserve">Buy Price (EUR)</x:t>
  </x:si>
  <x:si>
    <x:t xml:space="preserve">Owned Shares</x:t>
  </x:si>
  <x:si>
    <x:t xml:space="preserve">Total Investment (EUR)</x:t>
  </x:si>
  <x:si>
    <x:t xml:space="preserve">Net Change (EUR)</x:t>
  </x:si>
  <x:si>
    <x:t xml:space="preserve">Trading Currency</x:t>
  </x:si>
  <x:si>
    <x:t xml:space="preserve">Prompt 1 Regime</x:t>
  </x:si>
  <x:si>
    <x:t xml:space="preserve">Prompt 2 Total Score</x:t>
  </x:si>
  <x:si>
    <x:t xml:space="preserve">Prompt 2 Moat &amp; Quality</x:t>
  </x:si>
  <x:si>
    <x:t xml:space="preserve">Prompt 3 Valuation Rank</x:t>
  </x:si>
  <x:si>
    <x:t xml:space="preserve">Prompt 4 Decay Score</x:t>
  </x:si>
  <x:si>
    <x:t xml:space="preserve">Prompt 4 Velocity</x:t>
  </x:si>
  <x:si>
    <x:t xml:space="preserve">Prompt 5 Exit Ready</x:t>
  </x:si>
  <x:si>
    <x:t xml:space="preserve">Prompt 5 Exit Ready (EUR)</x:t>
  </x:si>
  <x:si>
    <x:t xml:space="preserve">Chain Status</x:t>
  </x:si>
  <x:si>
    <x:t xml:space="preserve">Final Decision</x:t>
  </x:si>
  <x:si>
    <x:t xml:space="preserve">Sizing Stance</x:t>
  </x:si>
  <x:si>
    <x:t xml:space="preserve">Key Risk</x:t>
  </x:si>
  <x:si>
    <x:t xml:space="preserve">Key Bull Point</x:t>
  </x:si>
  <x:si>
    <x:t xml:space="preserve">Verification Notes</x:t>
  </x:si>
  <x:si>
    <x:t xml:space="preserve">AMD</x:t>
  </x:si>
  <x:si>
    <x:t xml:space="preserve">USD</x:t>
  </x:si>
  <x:si>
    <x:t xml:space="preserve">STRONG BULL</x:t>
  </x:si>
  <x:si>
    <x:t xml:space="preserve">65/100</x:t>
  </x:si>
  <x:si>
    <x:t xml:space="preserve">18/25</x:t>
  </x:si>
  <x:si>
    <x:t xml:space="preserve">2 of 3 (lost to NVDA)</x:t>
  </x:si>
  <x:si>
    <x:t xml:space="preserve">41/100</x:t>
  </x:si>
  <x:si>
    <x:t xml:space="preserve">DECELERATING</x:t>
  </x:si>
  <x:si>
    <x:t xml:space="preserve">Inv &lt;299.76 close / T1 352.99 / T2 380.44</x:t>
  </x:si>
  <x:si>
    <x:t xml:space="preserve">Inv &lt;255.94 EUR close / T1 301.39 EUR / T2 324.83 EUR</x:t>
  </x:si>
  <x:si>
    <x:t xml:space="preserve">Complete</x:t>
  </x:si>
  <x:si>
    <x:t xml:space="preserve">ADVANCE</x:t>
  </x:si>
  <x:si>
    <x:t xml:space="preserve">Very small share position</x:t>
  </x:si>
  <x:si>
    <x:t xml:space="preserve">Valuation disconnect: market cap moved above $500B while Q1 2026 guidance still called for a 5% sequential revenue decline and Q4 margin quality benefited from China MI308 sales plus an inventory-reserve release.</x:t>
  </x:si>
  <x:si>
    <x:t xml:space="preserve">2025 revenue rose from $7.4B in Q1 to $10.3B in Q4, gross margin recovered to 54%, and AMD ended 2025 with net cash and 16% FCF margin.</x:t>
  </x:si>
  <x:si>
    <x:t xml:space="preserve">Prompt 1 verified on 2026-04-29 using SPY trend, VIX, FRED 10Y, and sector leadership sources. Prompt 2 verified mainly against AMD Feb. 3, 2026 earnings release, Feb. 4, 2026 10-K, Mar. 27, 2026 proxy, and Apr. 8/17/28, 2026 Form 4 filings; short-interest and estimate-dispersion clues use secondary sources. Prompt 4 verified against AMD Q1-Q4 2025 earnings releases, Feb. 4, 2026 10-K, Feb. 3, 2026 earnings-call transcript, Apr. 8/17/28, 2026 Form 4 filings, and late-April 2026 market pages. Prompt 5 verified against AMD IR event notices dated Apr. 8 and Apr. 28, 2026 plus late-April price history/range pages; latest fully confirmed close available in-tool was Apr. 28, 2026. | Portfolio quote used: AMD NASDAQ delayed close on 2026-04-28, converted to EUR with ECB USD/EUR 2026-04-28 (1.1680).</x:t>
  </x:si>
  <x:si>
    <x:t xml:space="preserve">NOW</x:t>
  </x:si>
  <x:si>
    <x:t xml:space="preserve">77/100</x:t>
  </x:si>
  <x:si>
    <x:t xml:space="preserve">22/25</x:t>
  </x:si>
  <x:si>
    <x:t xml:space="preserve">3 of 3 (lost to CRM, WDAY)</x:t>
  </x:si>
  <x:si>
    <x:t xml:space="preserve">44/100</x:t>
  </x:si>
  <x:si>
    <x:t xml:space="preserve">Inv &lt;83.00 close / T1 93.28 / T2 104.55</x:t>
  </x:si>
  <x:si>
    <x:t xml:space="preserve">Inv &lt;70.87 EUR close / T1 79.64 EUR / T2 89.27 EUR</x:t>
  </x:si>
  <x:si>
    <x:t xml:space="preserve">PASS</x:t>
  </x:si>
  <x:si>
    <x:t xml:space="preserve">Reduced share position</x:t>
  </x:si>
  <x:si>
    <x:t xml:space="preserve">Relative valuation was worst in comp set, and 2026 guide quality softened because Armis adds growth while pressuring gross margin, operating margin, and free-cash-flow margin.</x:t>
  </x:si>
  <x:si>
    <x:t xml:space="preserve">ServiceNow still compounded revenue above 20%, stayed net-cash, produced about $4.824B trailing FCF, and raised full-year subscription revenue guidance on Apr. 22, 2026.</x:t>
  </x:si>
  <x:si>
    <x:t xml:space="preserve">Prompt 2 verified against ServiceNow Q2 2025 through Q1 2026 earnings releases, 2025 10-K, SEC Form 4s, and market-data sources. Prompt 3 used Yahoo Finance, Macrotrends, TipRanks, and peer earnings releases for CRM and WDAY. Prompt 4 verified against ServiceNow Q1 2026 10-Q, transcript, Form 4s, and valuation history. Prompt 5 used verified April 2026 price history plus confirmed Analyst Day and annual-meeting dates. | Portfolio quote used: NOW NYSE delayed close on 2026-04-24, converted to EUR with ECB USD/EUR 2026-04-24 (1.1712).</x:t>
  </x:si>
  <x:si>
    <x:t xml:space="preserve">ELF</x:t>
  </x:si>
  <x:si>
    <x:t xml:space="preserve">70/100</x:t>
  </x:si>
  <x:si>
    <x:t xml:space="preserve">17/25</x:t>
  </x:si>
  <x:si>
    <x:t xml:space="preserve">2 of 3 (lost to ODD)</x:t>
  </x:si>
  <x:si>
    <x:t xml:space="preserve">48/100</x:t>
  </x:si>
  <x:si>
    <x:t xml:space="preserve">Inv &lt;61.14 close / T1 72.58 / T2 79.95</x:t>
  </x:si>
  <x:si>
    <x:t xml:space="preserve">Inv &lt;51.90 EUR close / T1 61.61 EUR / T2 67.87 EUR</x:t>
  </x:si>
  <x:si>
    <x:t xml:space="preserve">Small share position</x:t>
  </x:si>
  <x:si>
    <x:t xml:space="preserve">Organic growth quality is weaker than the headline because Rhode is doing most of the lifting, while margin durability and GAAP/non-GAAP quality remain real concerns.</x:t>
  </x:si>
  <x:si>
    <x:t xml:space="preserve">Growth re-accelerated sharply in Q3 FY2026, the company raised FY2026 guidance, and the business still has one of the strongest growth engines in beauty.</x:t>
  </x:si>
  <x:si>
    <x:t xml:space="preserve">Prompt 2 verified against e.l.f. Beauty Q4 FY2025 through Q3 FY2026 releases, FY2025 10-K, FY2026 Q2/Q3 10-Qs, Form 4 filings, and market-data sources. Prompt 3 used StockAnalysis, TipRanks, Macrotrends, and peer filings for COTY and ODD. Prompt 4 verified against earnings releases, FY2026 Q2 10-Q, Q3 transcript, insider filings, short-interest sources, and valuation history. Prompt 5 used verified April 2026 price history plus third-party earnings-date context; no hard kill signal through Prompt 5. | Portfolio quote used: ELF NYSE delayed quote on 2026-04-15, converted to EUR with ECB USD/EUR 2026-04-15 (1.1780).</x:t>
  </x:si>
  <x:si>
    <x:t xml:space="preserve">ORCL</x:t>
  </x:si>
  <x:si>
    <x:t xml:space="preserve">68/100</x:t>
  </x:si>
  <x:si>
    <x:t xml:space="preserve">20/25</x:t>
  </x:si>
  <x:si>
    <x:t xml:space="preserve">2 of 3 (lost to SAP)</x:t>
  </x:si>
  <x:si>
    <x:t xml:space="preserve">53/100</x:t>
  </x:si>
  <x:si>
    <x:t xml:space="preserve">STABLE</x:t>
  </x:si>
  <x:si>
    <x:t xml:space="preserve">Inv &lt;161.56 close / T1 176.28 / T2 189.18</x:t>
  </x:si>
  <x:si>
    <x:t xml:space="preserve">Inv &lt;138.32 EUR close / T1 150.92 EUR / T2 161.97 EUR</x:t>
  </x:si>
  <x:si>
    <x:t xml:space="preserve">Watch only</x:t>
  </x:si>
  <x:si>
    <x:t xml:space="preserve">Oracle's capital intensity is still the core risk: trailing four-quarter free cash flow was negative, net debt remained very high, and a close below the 161-162 support shelf would reopen downside toward the April gap zone.</x:t>
  </x:si>
  <x:si>
    <x:t xml:space="preserve">Cloud growth accelerated to 44%, RPO reached $553B, and the stock is still well below its 2025 high, so a recovery back toward the 176-189 supply zone is plausible if support holds.</x:t>
  </x:si>
  <x:si>
    <x:t xml:space="preserve">Prompt 2 verified primarily against Oracle investor-relations releases dated Jun. 11, 2025, Sep. 9, 2025, Dec. 10, 2025, and Mar. 10, 2026; Oracle FY2025 10-K; Oracle Q1-Q3 FY2026 10-Q filings; and SEC Form 4 filings dated Apr. 17 and Apr. 20, 2026. Prompt 3 used Yahoo Finance, TipRanks, Macrotrends, and Oracle, Microsoft, and SAP releases for peer context. Prompt 4 verified Oracle's negative trailing free cash flow, debt load, and margin pressure against the Mar. 10, 2026 release and Q3 FY2026 10-Q. Prompt 5 used Apr. 28, 2026 price-history data, Oracle IR event pages, and ECB's Apr. 28, 2026 USD/EUR reference rate; Oracle's next earnings date was not yet company-confirmed as of Apr. 29, 2026. | Portfolio quote used: ORCL NYSE delayed close on 2026-04-28, converted to EUR with ECB USD/EUR 2026-04-28 (1.1680).</x:t>
  </x:si>
  <x:si>
    <x:t xml:space="preserve">HIMS</x:t>
  </x:si>
  <x:si>
    <x:t xml:space="preserve">66/100</x:t>
  </x:si>
  <x:si>
    <x:t xml:space="preserve">3 of 3 (lost to LFMD, TDOC)</x:t>
  </x:si>
  <x:si>
    <x:t xml:space="preserve">58/100</x:t>
  </x:si>
  <x:si>
    <x:t xml:space="preserve">Inv &lt;24.29 close / T1 29.78 / T2 37.69</x:t>
  </x:si>
  <x:si>
    <x:t xml:space="preserve">Inv &lt;20.80 EUR close / T1 25.50 EUR / T2 32.27 EUR</x:t>
  </x:si>
  <x:si>
    <x:t xml:space="preserve">Hims is still adapting its weight-loss model after shifting away from broadly marketed compounded GLP-1s, while valuation remains rich, short interest stays elevated, and fresh data-breach and acquisition/integration risks add event sensitivity ahead of May 11, 2026 earnings.</x:t>
  </x:si>
  <x:si>
    <x:t xml:space="preserve">The company still grew 2025 revenue 59% to $2.35B, guided 2026 revenue to $2.7B-$2.9B, built a 2.5M+ subscriber base, and has meaningful consumer-health brand and distribution scale that can support a rebound if execution stabilizes.</x:t>
  </x:si>
  <x:si>
    <x:t xml:space="preserve">Prompt 2 verified against Hims &amp; Hers Q1, Q3, and Q4/full-year 2025 earnings releases, the Feb. 23, 2026 Form 10-K, the Mar. 9, 2026 GLP-1 strategy shift release, the Feb. 25, 2026 Eucalyptus acquisition release, and secondary valuation/ownership/short-interest pages from StockAnalysis and Fintel. Prompt 3 used StockAnalysis overview/statistics pages for HIMS, LFMD, and TDOC plus LifeMD Mar. 9, 2026 results and Teladoc Feb. 25, 2026 results; hard kill triggered because HIMS ranked worst on valuation. Prompt 4 used the Mar. 9 and Mar. 26, 2026 Hims releases plus Apr. 2, 2026 breach reporting and Apr. 28, 2026 proxy context. Prompt 5 used Apr. 28, 2026 price history, confirmed May 11, 2026 earnings, and the ECB Apr. 28, 2026 USD/EUR rate. | Portfolio quote used: HIMS NYSE delayed quote on 2026-04-15, converted to EUR with ECB USD/EUR 2026-04-15 (1.1780).</x:t>
  </x:si>
  <x:si>
    <x:t xml:space="preserve">AXP</x:t>
  </x:si>
  <x:si>
    <x:t xml:space="preserve">69/100</x:t>
  </x:si>
  <x:si>
    <x:t xml:space="preserve">21/25</x:t>
  </x:si>
  <x:si>
    <x:t xml:space="preserve">3 of 3 (lost to V, MA)</x:t>
  </x:si>
  <x:si>
    <x:t xml:space="preserve">49/100</x:t>
  </x:si>
  <x:si>
    <x:t xml:space="preserve">Inv &lt;300.18 close / T1 335.32 / T2 345.83</x:t>
  </x:si>
  <x:si>
    <x:t xml:space="preserve">Inv &lt;256.99 EUR close / T1 287.09 EUR / T2 296.09 EUR</x:t>
  </x:si>
  <x:si>
    <x:t xml:space="preserve">American Express is still an existing-position hold, but the reward looks capped unless it can reclaim the February gap zone; a daily close back under the early-April support shelf would signal the recovery has failed.</x:t>
  </x:si>
  <x:si>
    <x:t xml:space="preserve">The business remains healthy enough to justify holding a smaller position: spending, fees, and EPS are still growing double digits, and no company-confirmed binary event sits inside the next 30 days after the Apr. 23, 2026 earnings release.</x:t>
  </x:si>
  <x:si>
    <x:t xml:space="preserve">Prompt 2 verified against American Express Apr. 23, 2026 Q1 results, Feb. 6, 2026 10-K, Mar. 4, 2026 event notice, Jul. 1, 2025 stress-capital-buffer release, and secondary market-data pages. Prompt 3 used StockAnalysis valuation/target pages for AXP, Visa, and Mastercard plus peer earnings releases. Prompt 4 verified against the Apr. 23, 2026 earnings release and 10-Q. Prompt 5 used Apr. 15, 2026 and late-March/early-April 2026 price history plus the ECB Apr. 28, 2026 USD/EUR reference rate; no company-confirmed binary event within 30 days was identified after the Apr. 23, 2026 earnings report. | Portfolio quote used: AXP NYSE delayed quote on 2026-04-15, converted to EUR with ECB USD/EUR 2026-04-15 (1.1780).</x:t>
  </x:si>
  <x:si>
    <x:t xml:space="preserve">AMZN</x:t>
  </x:si>
  <x:si>
    <x:t xml:space="preserve">72/100</x:t>
  </x:si>
  <x:si>
    <x:t xml:space="preserve">3 of 3 (lost to MSFT, GOOGL)</x:t>
  </x:si>
  <x:si>
    <x:t xml:space="preserve">54/100</x:t>
  </x:si>
  <x:si>
    <x:t xml:space="preserve">Inv &lt;248.50 close / T1 264.50 / T2 281.16</x:t>
  </x:si>
  <x:si>
    <x:t xml:space="preserve">Inv &lt;212.76 EUR close / T1 226.46 EUR / T2 240.72 EUR</x:t>
  </x:si>
  <x:si>
    <x:t xml:space="preserve">Amazon is still a held-position name, but the stock is going into the confirmed Apr. 30, 2026 earnings event near 52-week highs, so a close back below the Apr. 15 breakout shelf would invalidate the latest leg and argue for tighter risk.</x:t>
  </x:si>
  <x:si>
    <x:t xml:space="preserve">If AWS and operating-margin execution hold, the stock still has room to retest and exceed the Apr. 24 high, with the consensus-target area around 281 providing a plausible runner objective.</x:t>
  </x:si>
  <x:si>
    <x:t xml:space="preserve">Prompt 2 verified against Amazon Feb. 5, 2026 Q4/full-year 2025 results, the Apr. 15, 2026 Q1 2026 earnings-date announcement, the Feb. 5, 2026 Form 10-K, and Apr. 2026 Form 4 filings. Prompt 3 used StockAnalysis valuation and target pages for AMZN, MSFT, and GOOGL plus Microsoft Jan. 28, 2026 FY26 Q2 results and Alphabet Feb. 4, 2026 Q4 2025 results. Prompt 4 used Amazon's 2025 10-K, Apr. 15, 2026 quote/target context, Apr. 21, 2026 CEO Form 4, and confirmed Apr. 30, 2026 earnings timing. Prompt 5 used Apr. 15-Apr. 28, 2026 price history from FinanceCharts, the confirmed Apr. 30, 2026 earnings date, StockAnalysis's 281.16 target snapshot, and the ECB Apr. 28, 2026 USD/EUR rate. | Portfolio quote used: AMZN NASDAQ delayed close on 2026-04-28, converted to EUR with ECB USD/EUR 2026-04-28 (1.1680).</x:t>
  </x:si>
  <x:si>
    <x:t xml:space="preserve">AIR</x:t>
  </x:si>
  <x:si>
    <x:t xml:space="preserve">EUR</x:t>
  </x:si>
  <x:si>
    <x:t xml:space="preserve">74/100</x:t>
  </x:si>
  <x:si>
    <x:t xml:space="preserve">1 of 3</x:t>
  </x:si>
  <x:si>
    <x:t xml:space="preserve">46/100</x:t>
  </x:si>
  <x:si>
    <x:t xml:space="preserve">Inv &lt;162.32 close / T1 175.22 / T2 193.80</x:t>
  </x:si>
  <x:si>
    <x:t xml:space="preserve">Inv &lt;162.32 EUR close / T1 175.22 EUR / T2 193.80 EUR</x:t>
  </x:si>
  <x:si>
    <x:t xml:space="preserve">Airbus still needs a sharp back-half delivery acceleration to hit its 2026 targets while absorbing engine shortages, Spirit work-package integration, tariff exposure and a much weaker Q1 free-cash-flow print than investors are used to.</x:t>
  </x:si>
  <x:si>
    <x:t xml:space="preserve">The company still has by far the strongest commercial-aircraft backlog, positive net cash, unchanged 2026 guidance and the cleanest valuation/risk profile in the peer set.</x:t>
  </x:si>
  <x:si>
    <x:t xml:space="preserve">Prompt 2 verified against Airbus FY 2025 results published Feb. 19, 2026, Q1 2026 results published Apr. 28, 2026, and recent quote/valuation context from StockAnalysis and DAX market pages. Prompt 3 used Airbus Apr. 28, 2026 Q1 results, Boeing Apr. 22, 2026 Q1 results, Embraer Mar. 6, 2026 FY 2025 results and Apr. 2, 2026 delivery update, plus StockAnalysis valuation pages for AIR and BA. Prompt 4 used Airbus' Apr. 28, 2026 Q1 release, FY 2025 report, AGM materials, and same-day news coverage on Pratt &amp; Whitney bottlenecks; no accelerating decay signal was found. Prompt 5 used April 2026 AIR price history and AGM/earnings calendars; no company-confirmed binary event within the next 30 days remained after the Apr. 28, 2026 Q1 results and Apr. 14, 2026 AGM. | Portfolio quote used: AIR EPA delayed quote on 2026-04-15.</x:t>
  </x:si>
  <x:si>
    <x:t xml:space="preserve">MSFT</x:t>
  </x:si>
  <x:si>
    <x:t xml:space="preserve">81/100</x:t>
  </x:si>
  <x:si>
    <x:t xml:space="preserve">24/25</x:t>
  </x:si>
  <x:si>
    <x:t xml:space="preserve">45/100</x:t>
  </x:si>
  <x:si>
    <x:t xml:space="preserve">Inv &lt;393.11 close / T1 432.92 / T2 586.74</x:t>
  </x:si>
  <x:si>
    <x:t xml:space="preserve">Inv &lt;336.57 EUR close / T1 370.65 EUR / T2 502.35 EUR</x:t>
  </x:si>
  <x:si>
    <x:t xml:space="preserve">The main risk is valuation-and-execution concentration around AI: capital expenditures reached $83.09B TTM, Microsoft Cloud gross margin slipped to 67%, and the stock goes into the confirmed Apr. 29, 2026 earnings release with very high expectations for Azure and Copilot monetization.</x:t>
  </x:si>
  <x:si>
    <x:t xml:space="preserve">Microsoft still has the strongest combination of cloud growth, margins, balance-sheet resilience, and contractual demand visibility in the peer set, with Azure up 39%, commercial RPO at $625B, and TTM free cash flow of $77.41B.</x:t>
  </x:si>
  <x:si>
    <x:t xml:space="preserve">Prompt 2 verified against Microsoft's Jan. 28, 2026 FY26 Q2 earnings release and segment/metrics pages, StockAnalysis statistics/overview pages, Fintel ownership context, and the confirmed Apr. 29, 2026 earnings date. Prompt 3 used StockAnalysis valuation and target pages for MSFT, GOOGL, and AMZN plus Microsoft's Jan. 28, 2026 results, Alphabet's Feb. 4, 2026 Q4 2025 results, and Amazon's Feb. 5, 2026 FY2025 results. Prompt 4 used Microsoft's Jan. 28, 2026 release and operating metrics, Apr. 2026 quote context, and Form 4/ownership signals; no accelerating decay signal was found. Prompt 5 used FinanceCharts Apr. 28, 2026 price history, StockAnalysis's Apr. 29, 2026 earnings-date and target snapshot, and the ECB Apr. 28, 2026 USD/EUR rate. | Portfolio quote used: MSFT NASDAQ delayed close on 2026-04-28, converted to EUR with ECB USD/EUR 2026-04-28 (1.1680).</x:t>
  </x:si>
  <x:si>
    <x:t xml:space="preserve">SAP</x:t>
  </x:si>
  <x:si>
    <x:t xml:space="preserve">78/100</x:t>
  </x:si>
  <x:si>
    <x:t xml:space="preserve">23/25</x:t>
  </x:si>
  <x:si>
    <x:t xml:space="preserve">43/100</x:t>
  </x:si>
  <x:si>
    <x:t xml:space="preserve">Inv &lt;160.66 close / T1 173.37 / T2 202.50</x:t>
  </x:si>
  <x:si>
    <x:t xml:space="preserve">Inv &lt;137.55 EUR close / T1 148.43 EUR / T2 173.37 EUR</x:t>
  </x:si>
  <x:si>
    <x:t xml:space="preserve">The main risk is execution around the cloud transition and the next event window: the stock is still far below its 2025 high, short interest has risen, and SAP Sapphire on May 11-13, 2026 sits within 30 days with investor expectations centered on AI and cloud-suite acceleration.</x:t>
  </x:si>
  <x:si>
    <x:t xml:space="preserve">SAP has one of the cleanest setups in enterprise software right now: current cloud backlog reached €21.9B, cloud revenue grew 19%, Cloud ERP Suite grew 23%, and the company still has net cash and strong free-cash-flow conversion.</x:t>
  </x:si>
  <x:si>
    <x:t xml:space="preserve">Prompt 2 verified against SAP's Apr. 23, 2026 Q1 results and 2025 Annual Report/20-F context, plus StockAnalysis statistics and overview pages. Prompt 3 used StockAnalysis valuation and target pages for SAP, CRM, and WDAY plus SAP Apr. 23, 2026 Q1 results, Salesforce FY26 Q1 results, and Workday Feb. 24, 2026 FY2026 Q4 results. Prompt 4 used SAP's Q1 release, market-data context, and ownership/short-interest signals; no accelerating decay signal was found. Prompt 5 used SAP April 2026 price history, the confirmed Apr. 23, 2026 earnings release, the confirmed SAP Sapphire Orlando dates of May 11-13, 2026, and the ECB Apr. 28, 2026 USD/EUR rate. | Portfolio quote used: SAP Xetra delayed quote on 2026-04-15.</x:t>
  </x:si>
  <x:si>
    <x:t xml:space="preserve">SLB</x:t>
  </x:si>
  <x:si>
    <x:t xml:space="preserve">2 of 3 (lost to HAL)</x:t>
  </x:si>
  <x:si>
    <x:t xml:space="preserve">57/100</x:t>
  </x:si>
  <x:si>
    <x:t xml:space="preserve">Inv &lt;52.31 close / T1 56.90 / T2 60.00</x:t>
  </x:si>
  <x:si>
    <x:t xml:space="preserve">Inv &lt;44.79 EUR close / T1 48.72 EUR / T2 51.37 EUR</x:t>
  </x:si>
  <x:si>
    <x:t xml:space="preserve">The main risk is that SLB's international engine was hit directly by the Middle East disruption, which compressed margins and exposed how little room is left for error when consensus upside is minimal and international revenue is still declining.</x:t>
  </x:si>
  <x:si>
    <x:t xml:space="preserve">SLB still has the strongest scale, technology breadth, and profitability profile in oilfield services, with North America up 26%, strong digital traction, and a likely multiyear benefit if energy security spending broadens after the current conflict shock.</x:t>
  </x:si>
  <x:si>
    <x:t xml:space="preserve">Prompt 2 verified against SLB's Apr. 24, 2026 Q1 results, Mar. 11, 2026 Middle East operations update, Jan. 23, 2026 FY2025 investor highlights, and StockAnalysis statistics/overview pages. Prompt 3 used StockAnalysis valuation and target pages for SLB, HAL, and BKR plus SLB Apr. 24, 2026 Q1 results, Halliburton Apr. 21, 2026 Q1 results, and Baker Hughes Apr. 23, 2026 Q1 results. Prompt 4 used SLB's Mar. 11 and Apr. 24, 2026 releases plus Apr. 27, 2026 market commentary on the post-earnings stock move; no accelerating decay signal was found. Prompt 5 used Apr. 27, 2026 price history/news context, FinanceCharts April 2026 support history, SLB events calendar, and the ECB Apr. 28, 2026 USD/EUR rate; no company-confirmed binary event within the next 30 days remained after the Apr. 24, 2026 earnings release. | Portfolio quote used: SLB NYSE delayed quote on 2026-04-15, converted to EUR with ECB USD/EUR 2026-04-15 (1.1780).</x:t>
  </x:si>
  <x:si>
    <x:t xml:space="preserve">DTE</x:t>
  </x:si>
  <x:si>
    <x:t xml:space="preserve">76/100</x:t>
  </x:si>
  <x:si>
    <x:t xml:space="preserve">42/100</x:t>
  </x:si>
  <x:si>
    <x:t xml:space="preserve">Inv &lt;25.18 close / T1 29.50 / T2 32.40</x:t>
  </x:si>
  <x:si>
    <x:t xml:space="preserve">Inv &lt;25.18 EUR close / T1 29.50 EUR / T2 32.40 EUR</x:t>
  </x:si>
  <x:si>
    <x:t xml:space="preserve">The main risk is event timing and sentiment around the U.S. engine: Deutsche Telekom is heading into the confirmed May 13, 2026 Q1 release while investors are also reacting to T-Mobile US merger speculation, and the stock is still below its spring breakdown zone despite strong fundamentals.</x:t>
  </x:si>
  <x:si>
    <x:t xml:space="preserve">Deutsche Telekom exited 2025 with record free cash flow AL of €19.5B, adjusted EBITDA AL of €44.2B, guidance for further 2026 growth, and the strongest mix of scale, cash generation, and balance-sheet trajectory in the European telecom peer set.</x:t>
  </x:si>
  <x:si>
    <x:t xml:space="preserve">Prompt 2 verified against Deutsche Telekom's Feb. 26, 2026 FY2025 report and 2025 Annual Report, the Feb. 4, 2026 consensus publication, and StockAnalysis DTE statistics/overview pages. Prompt 3 used StockAnalysis valuation pages for DTE, Orange, and Vodafone plus Deutsche Telekom FY2025 results, Orange FY2025 metrics page, and Vodafone quoted valuation context. Prompt 4 used FY2025 guidance, ownership/valuation context, and Apr. 29, 2026 market commentary tied to T-Mobile US results; no accelerating decay signal was found. Prompt 5 used April 2026 DTE price-history snapshots, the confirmed May 13, 2026 Q1 results date, and Deutsche Telekom's Apr. 1, 2026 AGM timing; because Q1 earnings are within 30 days, sizing is options preferred. | Portfolio quote used: DTE Xetra delayed quote on 2026-04-15.</x:t>
  </x:si>
  <x:si>
    <x:t xml:space="preserve">NVDA</x:t>
  </x:si>
  <x:si>
    <x:t xml:space="preserve">84/100</x:t>
  </x:si>
  <x:si>
    <x:t xml:space="preserve">47/100</x:t>
  </x:si>
  <x:si>
    <x:t xml:space="preserve">Inv &lt;199.64 close / T1 216.82 / T2 264.54</x:t>
  </x:si>
  <x:si>
    <x:t xml:space="preserve">Inv &lt;170.92 EUR close / T1 185.63 EUR / T2 226.49 EUR</x:t>
  </x:si>
  <x:si>
    <x:t xml:space="preserve">The main risk is concentration and expectations: Nvidia is entering the confirmed May 27, 2026 earnings release near all-time highs, with a $5T+ market cap and extremely high expectations around Blackwell, inference demand, and China/export-policy execution.</x:t>
  </x:si>
  <x:si>
    <x:t xml:space="preserve">NVIDIA still has the strongest growth and economics in the peer set, with FY2026 revenue up 65% to $215.9B, Q4 gross margin at 75.0%, Data Center revenue up 75% year over year, and a PEG ratio around 0.64 despite that scale.</x:t>
  </x:si>
  <x:si>
    <x:t xml:space="preserve">Prompt 2 verified against NVIDIA's Feb. 25, 2026 Q4/FY2026 results, the May 28, 2025 Q1 FY2026 release for the China-export charge context, StockAnalysis NVDA statistics/overview pages, and the confirmed May 27, 2026 earnings date. Prompt 3 used StockAnalysis valuation and target pages for NVDA, AMD, and AVGO plus NVIDIA FY2026 results and Broadcom's Dec. 11, 2025/Q1 FY2026 guidance release. Prompt 4 used NVIDIA's official results, valuation/ownership context, and recent price action; no accelerating decay signal was found. Prompt 5 used FinanceCharts Apr. 28, 2026 price history, StockAnalysis's current target snapshot, and the ECB Apr. 28, 2026 USD/EUR rate. | Portfolio quote used: NVDA NASDAQ delayed close on 2026-04-28, converted to EUR with ECB USD/EUR 2026-04-28 (1.1680).</x:t>
  </x:si>
  <x:si>
    <x:t xml:space="preserve">ZETA</x:t>
  </x:si>
  <x:si>
    <x:t xml:space="preserve">75/100</x:t>
  </x:si>
  <x:si>
    <x:t xml:space="preserve">19/25</x:t>
  </x:si>
  <x:si>
    <x:t xml:space="preserve">59/100</x:t>
  </x:si>
  <x:si>
    <x:t xml:space="preserve">Inv &lt;15.28 close / T1 18.09 / T2 22.23</x:t>
  </x:si>
  <x:si>
    <x:t xml:space="preserve">Inv &lt;13.08 EUR close / T1 15.49 EUR / T2 19.03 EUR</x:t>
  </x:si>
  <x:si>
    <x:t xml:space="preserve">The main risk is that the stock is still rebuilding trust and carries real event risk: it has elevated short interest, meaningful stock-based compensation and dilution, active securities litigation tied to the 2025 short-report dispute, and a confirmed April 30, 2026 earnings release one day away.</x:t>
  </x:si>
  <x:si>
    <x:t xml:space="preserve">Zeta still has one of the strongest growth-plus-cash-flow profiles in marketing software, with FY2025 revenue up 30% to $1.305B, operating cash flow up 49% to $199M, free cash flow up 78% to $165M, positive GAAP net income in Q4, and 2026 guidance lifted again.</x:t>
  </x:si>
  <x:si>
    <x:t xml:space="preserve">Prompt 2 verified against Zeta's Feb. 24, 2026 Q4/FY2025 results, Apr. 16, 2026 Q1 2026 earnings-date announcement, and the Feb. 25, 2026 Form 10-K. Prompt 3 used StockAnalysis valuation and target pages for ZETA, BRZE, and HUBS plus Braze Mar. 24, 2026 FY2026 Q4 results; Zeta ranked best on growth-adjusted valuation and cash-flow profile. Prompt 4 used the 10-K lawsuit disclosures, share-count and SBC trends, short-interest data, and current valuation context; no accelerating decay signal was found. Prompt 5 used April 2026 price-history snapshots, the confirmed Apr. 30, 2026 earnings date, and the ECB Apr. 28, 2026 USD/EUR rate. | Portfolio quote used: ZETA NYSE delayed quote on 2026-04-15, converted to EUR with ECB USD/EUR 2026-04-15 (1.1780).</x:t>
  </x:si>
  <x:si>
    <x:t xml:space="preserve">NMR</x:t>
  </x:si>
  <x:si>
    <x:t xml:space="preserve">51/100</x:t>
  </x:si>
  <x:si>
    <x:t xml:space="preserve">Inv &lt;7.36 close / T1 8.35 / T2 9.20</x:t>
  </x:si>
  <x:si>
    <x:t xml:space="preserve">Inv &lt;6.28 EUR close / T1 7.13 EUR / T2 7.86 EUR</x:t>
  </x:si>
  <x:si>
    <x:t xml:space="preserve">Standard share position</x:t>
  </x:si>
  <x:si>
    <x:t xml:space="preserve">The main risk is that Nomura is still a market-sensitive earnings stream: fourth-quarter pretax income fell sequentially, Wholesale pretax income dropped 31% quarter over quarter, and the ADR closed at $7.87 on April 24, 2026 after the release despite record full-year profit, showing how quickly sentiment can fade when trading and deal activity normalize.</x:t>
  </x:si>
  <x:si>
    <x:t xml:space="preserve">Nomura just posted record full-year net income of 362.1 billion yen, full-year ROE of 10.1%, all-time-high four-segment pretax income of 506.9 billion yen, and it paired that with a 51 yen annual dividend plus a 60 billion yen buyback that was essentially completed by April 15, 2026.</x:t>
  </x:si>
  <x:si>
    <x:t xml:space="preserve">Prompt 2 verified against Nomura's Apr. 24, 2026 full-year results release, Apr. 10, 2026 regulatory capital release, Apr. 15, 2026 buyback completion notice, and the most recent available Form 20-F filed June 23, 2025. Prompt 3 used StockAnalysis quote/statistics pages for NMR, DSEEY, and MFG plus Mizuho's Feb. 2, 2026 Q3 summary and Daiwa's Apr. 27, 2026 FY2025 release timing; Nomura ranked best on the direct capital-markets comp because it combined stronger profitability and buyback-supported shareholder yield with a cheaper multiple than Daiwa and a cleaner pure-play setup than Mizuho. Prompt 4 used the Apr. 24, 2026 segment trends, including the quarter-over-quarter slowdown in Wholesale and the post-earnings ADR reaction; no accelerating decay signal was found. Prompt 5 used MarketBeat's Apr. 24, 2026 NMR close of $7.87, recent NMR historical-price snapshots from Investing.com, and the ECB Apr. 28, 2026 USD/EUR rate of 1.1680. | Portfolio quote used: NMR NYSE delayed close on 2026-04-24, converted to EUR with ECB USD/EUR 2026-04-24 (1.1712).</x:t>
  </x:si>
  <x:si>
    <x:t xml:space="preserve">MU</x:t>
  </x:si>
  <x:si>
    <x:t xml:space="preserve">Inv &lt;455.07 close / T1 531.36 / T2 543.20</x:t>
  </x:si>
  <x:si>
    <x:t xml:space="preserve">Inv &lt;389.61 EUR close / T1 454.93 EUR / T2 465.07 EUR</x:t>
  </x:si>
  <x:si>
    <x:t xml:space="preserve">The main risk is that Micron is still a memory-cycle stock even in an AI-led upcycle: the share price closed at $504.29 on April 28, 2026 above many older analyst targets, expectations are extremely high after a sixfold move, and any sign of easing HBM pricing or supply normalization could compress the multiple quickly.</x:t>
  </x:si>
  <x:si>
    <x:t xml:space="preserve">Micron just delivered record Q2 FY2026 revenue of $23.86B, record operating cash flow of $11.90B, adjusted free cash flow of $6.90B, and guided Q3 revenue to about $33.5B with non-GAAP EPS around $19.15, while still carrying a very strong balance sheet and the cheapest forward earnings multiple in the peer set.</x:t>
  </x:si>
  <x:si>
    <x:t xml:space="preserve">Prompt 1 uses the current weekly regime call dated 2026-04-29. Prompt 2 verified against Micron's Mar. 18, 2026 Q2 FY2026 results release, Mar. 19, 2026 Form 10-Q filing, and Micron IR pages; key valuation and ownership metrics use StockAnalysis delayed pages. Prompt 3 compared MU against WDC and STX using StockAnalysis valuation pages plus Western Digital's Jan. 29, 2026 Q2 FY2026 results and Apr. 30, 2026 earnings-date notice, and Seagate's Apr. 28, 2026 Q3 FY2026 results; MU ranked best on growth-adjusted valuation and balance-sheet quality. Prompt 4 used Micron's own Q2 release and 10-Q plus current market valuation context; no accelerating decay signal was found. Prompt 5 used MU's Apr. 28, 2026 delayed close of $504.29 and recent April price history from FinanceCharts, TipRanks' delayed average target of $543.20, and the ECB Apr. 28, 2026 USD/EUR reference rate of 1.1680. Portfolio quote used: MU NASDAQ delayed close on 2026-04-28, converted to EUR with ECB USD/EUR 2026-04-28 (1.1680).</x:t>
  </x:si>
  <x:si>
    <x:t xml:space="preserve">SOFI</x:t>
  </x:si>
  <x:si>
    <x:t xml:space="preserve">73/100</x:t>
  </x:si>
  <x:si>
    <x:t xml:space="preserve">2 of 3 (lost to UPST)</x:t>
  </x:si>
  <x:si>
    <x:t xml:space="preserve">61/100</x:t>
  </x:si>
  <x:si>
    <x:t xml:space="preserve">Inv &lt;16.27 close / T1 18.36 / T2 25.32</x:t>
  </x:si>
  <x:si>
    <x:t xml:space="preserve">Inv &lt;13.93 EUR close / T1 15.72 EUR / T2 21.68 EUR</x:t>
  </x:si>
  <x:si>
    <x:t xml:space="preserve">The main risk is confidence and quality of growth: despite strong Q1 2026 numbers, the stock fell sharply on April 29 because SoFi did not raise full-year guidance, technology-platform accounts were still down 16% year over year after a major client exit, share dilution remains high, short interest was 11.24% of float as of March 13, 2026, and the Muddy Waters accounting attack is still hanging over the story.</x:t>
  </x:si>
  <x:si>
    <x:t xml:space="preserve">SoFi still put up one of the best operating prints in fintech: Q1 2026 adjusted net revenue rose 41% to $1.09B, adjusted EBITDA rose 62% to $339.9M, net income reached $166.7M, members grew 35% to 14.7M, products grew 39% to 22.2M, and loan originations hit a record $12.2B.</x:t>
  </x:si>
  <x:si>
    <x:t xml:space="preserve">Prompt 1 uses the current weekly regime call dated 2026-04-29. Prompt 2 verified against SoFi's Apr. 29, 2026 Q1 2026 results release and Apr. 1, 2026 earnings-date announcement; key valuation and ownership metrics use StockAnalysis delayed pages, and short-interest context uses MarketBeat's March 13, 2026 data. Prompt 3 compared SOFI against UPST and LC using StockAnalysis valuation pages plus Upstart's Feb. 10, 2026 Q4/full-year 2025 results and LendingClub's Apr. 27, 2026 Q1 2026 results; SoFi ranked second behind UPST on growth-adjusted valuation. Prompt 4 used SoFi's Q1 2026 release, today's post-earnings price reaction, the unresolved Muddy Waters challenge, and platform-account trends; no accelerating decay signal was found. Prompt 5 used SOFI's Apr. 28, 2026 delayed close of $18.36, Apr. 29, 2026 extended-hours price of $16.83, MarketBeat's delayed average target of $25.32, and the ECB Apr. 28, 2026 USD/EUR reference rate of 1.1680. Portfolio quote used: SOFI NASDAQ delayed extended-hours quote on 2026-04-29 ($16.83), converted to EUR with ECB USD/EUR 2026-04-28 (1.1680).</x:t>
  </x:si>
  <x:si>
    <x:t xml:space="preserve">CELH</x:t>
  </x:si>
  <x:si>
    <x:t xml:space="preserve">71/100</x:t>
  </x:si>
  <x:si>
    <x:t xml:space="preserve">Inv &lt;32.36 close / T1 42.59 / T2 49.29</x:t>
  </x:si>
  <x:si>
    <x:t xml:space="preserve">Inv &lt;27.71 EUR close / T1 36.46 EUR / T2 42.20 EUR</x:t>
  </x:si>
  <x:si>
    <x:t xml:space="preserve">The main risk is that Celsius is still proving its post-acquisition quality: the legacy CELSIUS brand revenue fell about 8% in Q4 2025, the company booked a roughly $327.5M distributor buyout obligation tied to the Alani Nu transition into PepsiCo, leverage moved to net debt, short interest rose to 8.97% of float, and the stock remains below its 50-day and 200-day moving averages heading into earnings on May 5, 2026.</x:t>
  </x:si>
  <x:si>
    <x:t xml:space="preserve">Celsius still delivered record FY2025 revenue of $2.52B, record Q4 revenue of $721.6M, and it now controls a scaled modern-energy portfolio with Celsius, Alani Nu, and Rockstar; tracked portfolio retail sales in U.S. channels rose 24.4% in the 13 weeks ended Dec. 28, 2025, and management said January and February 2026 sell-through stayed strong after the PepsiCo distribution transition.</x:t>
  </x:si>
  <x:si>
    <x:t xml:space="preserve">Prompt 1 uses the current weekly regime call dated 2026-04-29. Prompt 2 verified against Celsius' Feb. 26, 2026 full-year 2025 and Q4 2025 results release; key valuation and ownership metrics use StockAnalysis delayed pages, and short-interest context uses MarketBeat's March 31, 2026 data. Prompt 3 compared CELH against MNST and KDP using StockAnalysis valuation pages plus Monster's Feb. 26, 2026 full-year 2025 results and Keurig Dr Pepper's Apr. 23, 2026 Q1 2026 results; CELH ranked best on growth-adjusted upside despite weaker near-term chart quality. Prompt 4 used Celsius' Q4 2025 release, distributor-transition liabilities, debt build, short-interest trend, and current chart context; no accelerating decay signal was found. Prompt 5 used CELH's Apr. 28, 2026 delayed close of $34.48 from MarketBeat's earnings page, StockAnalysis delayed moving-average data, the May 5, 2026 earnings date, and the ECB Apr. 28, 2026 USD/EUR reference rate of 1.1680. Portfolio quote used: CELH NASDAQ delayed close on 2026-04-28 ($34.48), converted to EUR with ECB USD/EUR 2026-04-28 (1.1680).</x:t>
  </x:si>
  <x:si>
    <x:t xml:space="preserve">HNST</x:t>
  </x:si>
  <x:si>
    <x:t xml:space="preserve">14/25</x:t>
  </x:si>
  <x:si>
    <x:t xml:space="preserve">3 of 3 (lost to ODD, ELF)</x:t>
  </x:si>
  <x:si>
    <x:t xml:space="preserve">The main risk is that Honest is still a low-margin, low-conviction turnaround: reported Q4 2025 revenue fell 11.8%, gross margin was only 15.7% on a GAAP basis, the company exited direct fulfillment on Honest.com, share count is still up 10.94% year over year, and short interest remains elevated around 10% of shares outstanding on the latest accessible delayed data.</x:t>
  </x:si>
  <x:si>
    <x:t xml:space="preserve">The balance sheet is clean and the business is stabilizing: 2025 organic revenue grew 5.3%, adjusted EBITDA was $21.8M, cash rose to $89.6M with no debt outstanding, the board authorized its first-ever $25M share repurchase, and management guided 2026 in line with its long-term algorithm.</x:t>
  </x:si>
  <x:si>
    <x:t xml:space="preserve">Prompt 1 uses the current weekly regime call dated 2026-04-29. Prompt 2 verified against Honest's Feb. 25, 2026 Q4 and full-year 2025 results release plus the 2025 10-K context summarized in SEC-linked sources; valuation and ownership metrics use StockAnalysis delayed pages, and short-interest context uses the latest accessible delayed data, which appears stale on MarketBeat. Prompt 3 compared HNST against ODD and ELF using StockAnalysis valuation pages and concluded HNST ranked worst because it had the weakest quality-adjusted setup: forward PE was about 84x with analyst target downside, while both peers offered stronger profitability and better upside profiles. Under the chain rules, Prompt 3 ranked-worst on valuation is a hard kill. Portfolio quote used: HNST delayed close on 2026-04-16 ($3.36), converted to EUR with ECB USD/EUR 2026-04-16 (1.1782).</x:t>
  </x:si>
  <x:si>
    <x:t xml:space="preserve">SLYG</x:t>
  </x:si>
  <x:si>
    <x:t xml:space="preserve">80/100</x:t>
  </x:si>
  <x:si>
    <x:t xml:space="preserve">Inv &lt;52.20 close / T1 57.70 / T2 75.80</x:t>
  </x:si>
  <x:si>
    <x:t xml:space="preserve">Inv &lt;52.20 EUR close / T1 57.70 EUR / T2 75.80 EUR</x:t>
  </x:si>
  <x:si>
    <x:t xml:space="preserve">The main risk is execution against very high expectations: Shelly trades around 24.6x forward earnings after a huge run, free cash conversion softened in FY2025, and the stock goes into the confirmed Q1 2026 report on May 11 with the market already pricing in another very strong quarter after the April 14 preliminary revenue release.</x:t>
  </x:si>
  <x:si>
    <x:t xml:space="preserve">Shelly is still one of the strongest small-cap growth stories in European hardware and smart-building IoT: FY2025 revenue rose 40.3% to EUR 149.7M, adjusted EBIT rose 42.8% to EUR 37.7M, equity ratio stayed very high at 78.5%, and management preannounced Q1 2026 group revenue of about EUR 26.5M, up 29% year over year, while analysts' average target still sits at EUR 75.8.</x:t>
  </x:si>
  <x:si>
    <x:t xml:space="preserve">Prompt 1 uses the current weekly regime call dated 2026-04-29. Prompt 2 verified against Shelly Group's 2025 annual financial report and investor-relations summary pages plus the Apr. 14, 2026 preliminary Q1 revenue disclosure. Prompt 3 compared SLYG against Schneider Electric and Legrand using StockAnalysis delayed valuation pages and official FY2025 results; Shelly ranked best on growth-adjusted upside despite being close to Legrand on forward PE and cheaper than Schneider on that metric. Prompt 4 used the FY2025 cash-flow profile, valuation, and the near-term event setup into the May 11, 2026 Q1 report; no accelerating decay signal was found. Prompt 5 used the actual Xetra close of EUR 54.90 on 2026-04-28 from Shelly IR, the analyst consensus target of EUR 75.8 shown on Shelly IR, and the company's confirmed May 11 Q1 report / May 12 earnings call. Portfolio quote used: SLYG Xetra delayed close on 2026-04-28 (EUR 54.90).</x:t>
  </x:si>
  <x:si>
    <x:t xml:space="preserve">CRM</x:t>
  </x:si>
  <x:si>
    <x:t xml:space="preserve">Inv &lt;171.31 close / T1 194.00 / T2 282.06</x:t>
  </x:si>
  <x:si>
    <x:t xml:space="preserve">Inv &lt;145.81 EUR close / T1 165.12 EUR / T2 240.07 EUR</x:t>
  </x:si>
  <x:si>
    <x:t xml:space="preserve">The main risk is that Salesforce is still working through a damaged chart and slower core growth profile: FY2026 revenue grew 10%, the stock remains far below its 52-week high, Agentforce enthusiasm is partly offset by integration and execution questions around Informatica, and there is no company-confirmed catalyst inside the next 30 days to force a rerating.</x:t>
  </x:si>
  <x:si>
    <x:t xml:space="preserve">Salesforce still has elite software economics: FY2026 revenue reached $41.5B, free cash flow reached $14.4B, operating cash flow hit $15.0B, total RPO reached $72.4B, and the company authorized a new $50B buyback while continuing to shrink the share count.</x:t>
  </x:si>
  <x:si>
    <x:t xml:space="preserve">Prompt 1 uses the current weekly regime call dated 2026-04-29. Prompt 2 verified against Salesforce's Feb. 25, 2026 Q4/FY2026 results release and official investor-relations materials; key valuation metrics use StockAnalysis delayed pages. Prompt 3 compared CRM against SAP and WDAY using StockAnalysis valuation pages plus SAP's Apr. 23, 2026 Q1 results and Workday's FY2026 results pages; CRM ranked second behind SAP because SAP had the cleaner relative valuation while WDAY remained weaker on quality and consistency. Prompt 4 used Salesforce's FY2026 margins, cash flow, RPO, share repurchases, and current chart context; no accelerating decay signal was found. Prompt 5 used CRM's Apr. 27, 2026 delayed close of $180.18 from MarketWatch, FinanceCharts April support history, MarketBeat's delayed average target of $282.06, and the ECB Apr. 27, 2026 USD/EUR reference rate of 1.1749. Portfolio quote used: CRM NYSE delayed close on 2026-04-27 ($180.18), converted to EUR with ECB USD/EUR 2026-04-27 (1.1749).</x:t>
  </x:si>
  <x:si>
    <x:t xml:space="preserve">LITE</x:t>
  </x:si>
  <x:si>
    <x:t xml:space="preserve">3 of 3 (lost to COHR, AAOI)</x:t>
  </x:si>
  <x:si>
    <x:t xml:space="preserve">The main risk is that Lumentum has become an expectations stock rather than a valuation-backed setup: after a massive AI-optics run, the latest accessible delayed snapshot showed the shares around 66x forward earnings with the average analyst target still below the current price, share count up 12.85% year over year, and a confirmed May 5, 2026 earnings report that leaves little room for any guidance wobble.</x:t>
  </x:si>
  <x:si>
    <x:t xml:space="preserve">Operationally the business is very strong: fiscal Q2 2026 revenue rose 65% to $665.5M, adjusted EPS surged to $1.67, and Q3 guidance called for about $805M of revenue at the midpoint as AI optical demand keeps accelerating across cloud and data-center infrastructure.</x:t>
  </x:si>
  <x:si>
    <x:t xml:space="preserve">Prompt 1 uses the current weekly regime call dated 2026-04-29. Prompt 2 verified against Lumentum's official Q1 FY2026 release, the company's investor-relations materials for Q2 FY2026 and the May 5, 2026 earnings date, plus delayed valuation pages from StockAnalysis. Prompt 3 compared LITE against Coherent and Applied Optoelectronics using official peer earnings releases and delayed valuation pages; LITE ranked worst because it combined the richest forward multiple with analyst target downside after an extreme price run, while COHR offered stronger scale-quality balance and AAOI offered a much cheaper high-growth setup. Under the chain rules, Prompt 3 ranked-worst on valuation is a hard kill. Portfolio quote used: LITE NASDAQ delayed quote on 2026-04-15 ($804.00), converted to EUR with ECB USD/EUR 2026-04-15 (1.1780).</x:t>
  </x:si>
  <x:si>
    <x:t xml:space="preserve">COHR</x:t>
  </x:si>
  <x:si>
    <x:t xml:space="preserve">56/100</x:t>
  </x:si>
  <x:si>
    <x:t xml:space="preserve">Inv &lt;281.79 close / T1 322.48 / T2 375.00</x:t>
  </x:si>
  <x:si>
    <x:t xml:space="preserve">Inv &lt;239.21 EUR close / T1 273.75 EUR / T2 318.34 EUR</x:t>
  </x:si>
  <x:si>
    <x:t xml:space="preserve">The main risk is that Coherent is now an expectations-heavy AI optics name: the stock has already made a huge run, the latest accessible delayed analyst average target still sat below the share price, share count is up 11.55% year over year, and the company reports fiscal Q3 2026 results on May 6, 2026, leaving little room for any guide miss or margin wobble.</x:t>
  </x:si>
  <x:si>
    <x:t xml:space="preserve">Coherent still has one of the strongest operating profiles in the group: fiscal Q2 2026 revenue rose 17% to $1.69B, non-GAAP gross margin reached 39.0%, non-GAAP EPS rose 35% to $1.29, and management said datacenter and communications demand should drive continued strong growth through the second half of fiscal 2026 and into fiscal 2027.</x:t>
  </x:si>
  <x:si>
    <x:t xml:space="preserve">Prompt 1 uses the current weekly regime call dated 2026-04-29. Prompt 2 verified against Coherent's Nov. 5, 2025 Q1 FY2026 results and Feb. 4, 2026 Q2 FY2026 results plus the May 6, 2026 earnings-call notice on the company IR page; delayed valuation pages from StockAnalysis supplied market metrics. Prompt 3 compared COHR against LITE and AAOI using official peer releases and delayed valuation pages; COHR ranked best because it paired strong AI/datacenter demand with better scale and a less extreme valuation than LITE while offering a cleaner quality profile than AAOI. Prompt 4 used Coherent's growth, margin, dilution, short-interest history, and the near-term event setup; no accelerating decay signal was found. Prompt 5 used COHR's Apr. 15, 2026 delayed close of $306.45 from StockAnalysis and FinanceCharts' April price history for technical levels. Portfolio quote used: COHR NYSE delayed quote on 2026-04-15 ($306.45), converted to EUR with ECB USD/EUR 2026-04-15 (1.1780).</x:t>
  </x:si>
  <x:si>
    <x:t xml:space="preserve">PL</x:t>
  </x:si>
  <x:si>
    <x:t xml:space="preserve">2 of 3 (lost to RKLB)</x:t>
  </x:si>
  <x:si>
    <x:t xml:space="preserve">Inv &lt;35.84 close / T1 40.00 / T2 44.00</x:t>
  </x:si>
  <x:si>
    <x:t xml:space="preserve">Inv &lt;30.38 EUR close / T1 33.91 EUR / T2 37.30 EUR</x:t>
  </x:si>
  <x:si>
    <x:t xml:space="preserve">The main risk is that Planet has become an expectation-heavy story after a near-10x rerating: the latest accessible delayed snapshot showed the stock around 38x sales with average analyst target downside, shares outstanding up 5.37% year over year, and the bull case increasingly depends on AI and defense backlog converting into durable cash earnings rather than just revenue growth.</x:t>
  </x:si>
  <x:si>
    <x:t xml:space="preserve">Planet's operations are meaningfully better: Q4 FY2026 revenue rose 41% to a record $86.8M, full-year revenue rose 26% to $307.7M, adjusted EBITDA turned positive at $15.5M for the year, and backlog jumped 79% to $900M with strong government and defense demand plus Nvidia and Google partnerships.</x:t>
  </x:si>
  <x:si>
    <x:t xml:space="preserve">Prompt 1 uses the current weekly regime call dated 2026-04-29. Prompt 2 verified against Planet's Mar. 19, 2026 Q4 and full FY2026 results release and the Mar. 28, 2026 10-K filed with the SEC; delayed valuation pages from StockAnalysis supplied market metrics. Prompt 3 compared PL against Rocket Lab and Spire using official peer earnings releases and delayed valuation pages; Planet ranked second behind RKLB because Rocket Lab paired stronger backlog scale and growth with a less stretched setup, while Spire remained much weaker on quality and profitability. Prompt 4 used Planet's backlog, cash profile, dilution, SpaceX supplier dependence disclosed in the 10-K, and current valuation context; no accelerating decay signal was found. Prompt 5 used the delayed Apr. 17, 2026 PL quote from StockAnalysis and the matching Apr. 17, 2026 EUR/USD reference rate. Portfolio quote used: PL NYSE delayed quote on 2026-04-17 ($38.41), converted to EUR with the Apr. 17, 2026 reference rate (1.1797).</x:t>
  </x:si>
  <x:si>
    <x:t xml:space="preserve">RKLB</x:t>
  </x:si>
  <x:si>
    <x:t xml:space="preserve">79/100</x:t>
  </x:si>
  <x:si>
    <x:t xml:space="preserve">55/100</x:t>
  </x:si>
  <x:si>
    <x:t xml:space="preserve">Inv &lt;67.73 close / T1 74.75 / T2 85.00</x:t>
  </x:si>
  <x:si>
    <x:t xml:space="preserve">Inv &lt;57.50 EUR close / T1 63.45 EUR / T2 72.16 EUR</x:t>
  </x:si>
  <x:si>
    <x:t xml:space="preserve">The main risk is that Rocket Lab is still a premium execution story rather than a current-profit story: Neutron slipped to Q4 2026 after a stage-1 tank test issue, the stock has rerated sharply on future medium-lift and defense expectations, and the company reports Q1 2026 results on May 7, 2026, leaving little room for any launch cadence or margin disappointment.</x:t>
  </x:si>
  <x:si>
    <x:t xml:space="preserve">Rocket Lab still has one of the strongest operating profiles in listed space: Q4 2025 revenue hit a record $180M, full-year 2025 revenue hit $602M, annual growth was 38%, backlog reached $1.85B, launch success stayed at 100% across 21 missions in 2025, and Q1 2026 revenue guidance of $185M-$200M implied another record quarter.</x:t>
  </x:si>
  <x:si>
    <x:t xml:space="preserve">Prompt 1 uses the current weekly regime call dated 2026-04-29. Prompt 2 verified against Rocket Lab's Feb. 26, 2026 Q4 and full-year 2025 results release plus the Apr. 16, 2026 Q1 2026 earnings-date announcement; delayed valuation pages from StockAnalysis supplied market metrics. Prompt 3 compared RKLB against PL and SPIR using official peer earnings releases and delayed valuation pages; Rocket Lab ranked best because it paired the largest backlog scale and strongest growth consistency with better quality than SPIR and a less stretched setup than PL. Prompt 4 used Rocket Lab's backlog, Neutron delay, continuing losses, dilution, and the near-term earnings setup; no accelerating decay signal was found. Prompt 5 used RKLB's Apr. 15, 2026 delayed quote from StockAnalysis and FinanceCharts' April price history for technical levels. Portfolio quote used: RKLB NASDAQ delayed quote on 2026-04-15 ($71.08), converted to EUR with ECB USD/EUR 2026-04-15 (1.1780).</x:t>
  </x:si>
  <x:si>
    <x:t xml:space="preserve">TSLA</x:t>
  </x:si>
  <x:si>
    <x:t xml:space="preserve">64/100</x:t>
  </x:si>
  <x:si>
    <x:t xml:space="preserve">3 of 3 (lost to BYD, GM)</x:t>
  </x:si>
  <x:si>
    <x:t xml:space="preserve">63/100</x:t>
  </x:si>
  <x:si>
    <x:t xml:space="preserve">Inv &lt;364.20 close / T1 387.51 / T2 400.62</x:t>
  </x:si>
  <x:si>
    <x:t xml:space="preserve">Inv &lt;311.13 EUR close / T1 331.11 EUR / T2 342.30 EUR</x:t>
  </x:si>
  <x:si>
    <x:t xml:space="preserve">The main risk is that Tesla is now a valuation and execution squeeze at the same time: Q1 2026 revenue rose 16% to $22.39B but net income attributable to common stockholders was only $477M, automotive regulatory credits fell 36% year over year, energy revenue fell 12%, capital spending remains very heavy, and the stock still trades around 180x forward earnings while peers are dramatically cheaper.</x:t>
  </x:si>
  <x:si>
    <x:t xml:space="preserve">Tesla still has strategic strengths that matter: Q1 2026 automotive revenue rose 16%, gross profit rose to $4.72B, cash and short-term investments reached $44.74B, deliveries remained above 358,000 units in the quarter, and the company continues to invest aggressively in autonomy, AI infrastructure, and energy systems.</x:t>
  </x:si>
  <x:si>
    <x:t xml:space="preserve">Prompt 1 uses the current weekly regime call dated 2026-04-30. Prompt 2 verified against Tesla's Apr. 22, 2026 Q1 2026 results release, Apr. 23, 2026 Form 10-Q, Apr. 2, 2026 production and deliveries release, and Tesla's own earnings-consensus page dated Apr. 17, 2026. Prompt 3 compared TSLA against BYD and GM using current delayed valuation pages plus GM's Apr. 28, 2026 Q1 results release; Tesla ranked worst because its forward PE was about 180x versus BYD around 21x and GM around 6x, while Tesla's current earnings and margin profile did not justify that spread on a pure relative basis. Under the chain rules, Prompt 3 ranked-worst on valuation is a hard kill. Prompt 4 used Tesla's Apr. 23, 2026 10-Q, including the drop in regulatory-credit backlog to $303M, weaker energy revenue, low net income relative to revenue, and elevated capex, plus the post-earnings price action through Apr. 29, 2026; the decay signal worsened but remained STABLE rather than ACCELERATING. Prompt 5 used FinanceCharts price history through Apr. 29, 2026 and the ECB Apr. 29, 2026 USD/EUR reference rate of 1.1706. Portfolio quote used: TSLA NASDAQ delayed quote on 2026-04-15 ($388.43), converted to EUR with ECB USD/EUR 2026-04-15 (1.1780).</x:t>
  </x:si>
  <x:si>
    <x:t xml:space="preserve">1211</x:t>
  </x:si>
  <x:si>
    <x:t xml:space="preserve">HKD</x:t>
  </x:si>
  <x:si>
    <x:t xml:space="preserve">Inv &lt;96.83 close / T1 108.70 / T2 121.00</x:t>
  </x:si>
  <x:si>
    <x:t xml:space="preserve">Inv &lt;10.56 EUR close / T1 11.85 EUR / T2 13.19 EUR</x:t>
  </x:si>
  <x:si>
    <x:t xml:space="preserve">The main risk is that BYD's earnings quality deteriorated sharply into Q1 2026: revenue fell 11.8% year over year to CNY 150.2B, net profit fell 55.4% to about CNY 4.09B, operating cash flow dropped sharply, and the domestic price war is still squeezing margins even as volume leadership remains intact.</x:t>
  </x:si>
  <x:si>
    <x:t xml:space="preserve">BYD still has world-class scale and balance-sheet strength: it ended 2025 with about CNY 919.3B trailing revenue, net cash of about CNY 85.5B, and 2025 NEV sales of 4.6M units, while overseas expansion continues to grow and the stock remains dramatically cheaper than Tesla on forward earnings.</x:t>
  </x:si>
  <x:si>
    <x:t xml:space="preserve">Prompt 1 uses the current weekly regime call dated 2026-04-30. Prompt 2 used BYD's delayed valuation pages and company-reported 2025 scale metrics, with annual-profit context cross-checked against widely reported Mar. 27, 2026 results summaries because the primary annual-report PDF was not directly accessible in-tool. Prompt 3 compared BYD against Tesla and GM using current delayed valuation pages plus Tesla's Apr. 23, 2026 10-Q and GM's Apr. 28, 2026 Q1 results; BYD ranked best on pure value-adjusted setup because it traded around 21x forward earnings, far below Tesla, while still retaining stronger EV secular growth than GM. Prompt 4 used Reuters and CnEVPost reporting of BYD's Apr. 28, 2026 Q1 filing, which showed a 55% profit decline and 11.8% revenue decline, but the decay signal was assessed as STABLE rather than ACCELERATING because overseas growth and scale advantages remain intact. Prompt 5 used the delayed HKG:1211 quote of HKD 103.00 on 2026-04-30 and the ECB/Banca d'Italia 2026-04-29 HKD reference rate of 9.1736. Portfolio quote used: HKG:1211 delayed quote on 2026-04-30 (HKD 103.00), converted to EUR using the 2026-04-29 reference rate.</x:t>
  </x:si>
</x:sst>
</file>

<file path=xl/styles.xml><?xml version="1.0" encoding="utf-8"?>
<x:styleSheet xmlns:x="http://schemas.openxmlformats.org/spreadsheetml/2006/main">
  <x:numFmts count="5">
    <x:numFmt numFmtId="164" formatCode="yyyy\-mm\-dd"/>
    <x:numFmt numFmtId="165" formatCode="\€#,##0.00"/>
    <x:numFmt numFmtId="166" formatCode="0.000"/>
    <x:numFmt numFmtId="167" formatCode="?#,##0.00"/>
    <x:numFmt numFmtId="200" formatCode="yyyy-mm-dd"/>
  </x:numFmts>
  <x:fonts count="4">
    <x:font>
      <x:sz val="11"/>
      <x:name val="Carlito"/>
    </x:font>
    <x:font>
      <x:sz val="11"/>
      <x:color rgb="1F2937"/>
      <x:name val="Calibri"/>
    </x:font>
    <x:font>
      <x:b/>
      <x:sz val="11"/>
      <x:color rgb="102A43"/>
      <x:name val="Calibri"/>
    </x:font>
    <x:font>
      <x:i/>
      <x:sz val="10"/>
      <x:color rgb="52606D"/>
      <x:name val="Calibri"/>
    </x:font>
  </x:fonts>
  <x:fills count="5">
    <x:fill>
      <x:patternFill patternType="none"/>
    </x:fill>
    <x:fill>
      <x:patternFill patternType="gray125"/>
    </x:fill>
    <x:fill>
      <x:patternFill patternType="solid">
        <x:fgColor rgb="DCEAF7"/>
      </x:patternFill>
    </x:fill>
    <x:fill>
      <x:patternFill patternType="solid">
        <x:fgColor rgb="E8F1FB"/>
      </x:patternFill>
    </x:fill>
    <x:fill>
      <x:patternFill patternType="solid">
        <x:fgColor rgb="F3F6FA"/>
      </x:patternFill>
    </x:fill>
  </x:fills>
  <x:borders count="2">
    <x:border/>
    <x:border/>
  </x:borders>
  <x:cellStyleXfs count="1">
    <x:xf numFmtId="0" fontId="0" fillId="0" borderId="0"/>
  </x:cellStyleXfs>
  <x:cellXfs count="26">
    <x:xf numFmtId="0" fontId="0" fillId="0" borderId="0" xfId="0"/>
    <x:xf numFmtId="0" fontId="1"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164" fontId="1" fillId="0"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166" fontId="1" fillId="0"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7" fontId="1" fillId="0"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0" fontId="0" fillId="0" borderId="1" xfId="0" applyNumberFormat="1" applyFont="1" applyFill="1" applyBorder="1"/>
    <x:xf numFmtId="0" fontId="1"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164" fontId="1" fillId="0" borderId="1" xfId="0" applyNumberFormat="1" applyFont="1" applyFill="1" applyBorder="1" applyAlignment="1">
      <x:alignment vertical="top" wrapText="1"/>
    </x:xf>
    <x:xf numFmtId="165" fontId="1" fillId="0" borderId="1" xfId="0" applyNumberFormat="1" applyFont="1" applyFill="1" applyBorder="1" applyAlignment="1">
      <x:alignment vertical="top" wrapText="1"/>
    </x:xf>
    <x:xf numFmtId="166" fontId="1" fillId="0" borderId="1" xfId="0" applyNumberFormat="1" applyFont="1" applyFill="1" applyBorder="1" applyAlignment="1">
      <x:alignment vertical="top" wrapText="1"/>
    </x:xf>
    <x:xf numFmtId="167" fontId="1" fillId="0" borderId="1"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dxfs count="8">
    <x:dxf>
      <x:font>
        <x:b/>
        <x:color rgb="FF374151"/>
      </x:font>
      <x:fill>
        <x:patternFill>
          <x:bgColor rgb="FFE5E7EB"/>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374151"/>
      </x:font>
      <x:fill>
        <x:patternFill>
          <x:bgColor rgb="FFF3F4F6"/>
        </x:patternFill>
      </x:fill>
    </x:dxf>
    <x:dxf>
      <x:font>
        <x:b/>
        <x:color rgb="FF991B1B"/>
      </x:font>
      <x:fill>
        <x:patternFill>
          <x:bgColor rgb="FFFEE2E2"/>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bfe7ddfb41407b" /><Relationship Type="http://schemas.openxmlformats.org/officeDocument/2006/relationships/theme" Target="/xl/theme/theme1.xml" Id="R16895b8fca304661" /><Relationship Type="http://schemas.openxmlformats.org/officeDocument/2006/relationships/sharedStrings" Target="/xl/sharedStrings.xml" Id="R60fa1edba2d44484" /><Relationship Type="http://schemas.openxmlformats.org/officeDocument/2006/relationships/worksheet" Target="/xl/worksheets/sheet1.xml" Id="R6280d0f49ed0497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4.25"/>
  <x:cols>
    <x:col min="1" max="1" width="12.125" customWidth="1"/>
    <x:col min="2" max="2" width="10.75" customWidth="1"/>
    <x:col min="3" max="4" width="15" customWidth="1"/>
    <x:col min="5" max="5" width="12.875" customWidth="1"/>
    <x:col min="6" max="6" width="17.125" customWidth="1"/>
    <x:col min="7" max="7" width="16.375" customWidth="1"/>
    <x:col min="8" max="8" width="12.125" customWidth="1"/>
    <x:col min="9" max="9" width="14.25" customWidth="1"/>
    <x:col min="10" max="10" width="12.875" customWidth="1"/>
    <x:col min="11" max="11" width="15.75" customWidth="1"/>
    <x:col min="12" max="12" width="20.75" customWidth="1"/>
    <x:col min="13" max="13" width="12.875" customWidth="1"/>
    <x:col min="14" max="14" width="15" customWidth="1"/>
    <x:col min="15" max="15" width="27.875" customWidth="1"/>
    <x:col min="16" max="16" width="33.625" customWidth="1"/>
    <x:col min="17" max="18" width="12.875" customWidth="1"/>
    <x:col min="19" max="19" width="23.625" customWidth="1"/>
    <x:col min="20" max="21" width="39.25" customWidth="1"/>
    <x:col min="22" max="22" width="59.25" customWidth="1"/>
  </x:cols>
  <x:sheetData>
    <x:row r="1" ht="60">
      <x:c r="A1" s="1" t="s">
        <x:v>0</x:v>
      </x:c>
      <x:c r="B1" s="1"/>
      <x:c r="C1" s="1"/>
      <x:c r="D1" s="1"/>
      <x:c r="E1" s="1"/>
      <x:c r="F1" s="1"/>
      <x:c r="G1" s="1"/>
      <x:c r="H1" s="1"/>
      <x:c r="I1" s="1"/>
      <x:c r="J1" s="1"/>
      <x:c r="K1" s="1"/>
      <x:c r="L1" s="1"/>
      <x:c r="M1" s="1"/>
      <x:c r="N1" s="1"/>
      <x:c r="O1" s="1"/>
      <x:c r="P1" s="1"/>
      <x:c r="Q1" s="1"/>
      <x:c r="R1" s="1"/>
      <x:c r="S1" s="1"/>
      <x:c r="T1" s="1"/>
      <x:c r="U1" s="1"/>
      <x:c r="V1" s="1"/>
    </x:row>
    <x:row r="2" ht="15">
      <x:c r="A2" s="1"/>
      <x:c r="B2" s="1"/>
      <x:c r="C2" s="1"/>
      <x:c r="D2" s="1"/>
      <x:c r="E2" s="1"/>
      <x:c r="F2" s="1"/>
      <x:c r="G2" s="1"/>
      <x:c r="H2" s="1"/>
      <x:c r="I2" s="1"/>
      <x:c r="J2" s="1"/>
      <x:c r="K2" s="1"/>
      <x:c r="L2" s="1"/>
      <x:c r="M2" s="1"/>
      <x:c r="N2" s="1"/>
      <x:c r="O2" s="1"/>
      <x:c r="P2" s="1"/>
      <x:c r="Q2" s="1"/>
      <x:c r="R2" s="1"/>
      <x:c r="S2" s="1"/>
      <x:c r="T2" s="1"/>
      <x:c r="U2" s="1"/>
      <x:c r="V2" s="1"/>
    </x:row>
    <x:row r="3" ht="15">
      <x:c r="A3" s="1" t="s">
        <x:v>1</x:v>
      </x:c>
      <x:c r="B3" s="1" t="s">
        <x:v>2</x:v>
      </x:c>
      <x:c r="C3" s="1"/>
      <x:c r="D3" s="1"/>
      <x:c r="E3" s="1"/>
      <x:c r="F3" s="1"/>
      <x:c r="G3" s="1"/>
      <x:c r="H3" s="1"/>
      <x:c r="I3" s="1" t="s">
        <x:v>3</x:v>
      </x:c>
      <x:c r="J3" s="1" t="s">
        <x:v>4</x:v>
      </x:c>
      <x:c r="K3" s="1" t="s">
        <x:v>5</x:v>
      </x:c>
      <x:c r="L3" s="1"/>
      <x:c r="M3" s="1"/>
      <x:c r="N3" s="1"/>
      <x:c r="O3" s="1"/>
      <x:c r="P3" s="1"/>
      <x:c r="Q3" s="1"/>
      <x:c r="R3" s="1"/>
      <x:c r="S3" s="1"/>
      <x:c r="T3" s="1"/>
      <x:c r="U3" s="1"/>
      <x:c r="V3" s="1"/>
    </x:row>
    <x:row r="4" ht="45">
      <x:c r="A4" s="1" t="s">
        <x:v>6</x:v>
      </x:c>
      <x:c r="B4" s="1">
        <x:v>0</x:v>
      </x:c>
      <x:c r="C4" s="1"/>
      <x:c r="D4" s="1"/>
      <x:c r="E4" s="1"/>
      <x:c r="F4" s="1"/>
      <x:c r="G4" s="1"/>
      <x:c r="H4" s="1"/>
      <x:c r="I4" s="1" t="s">
        <x:v>7</x:v>
      </x:c>
      <x:c r="J4" s="1" t="s">
        <x:v>8</x:v>
      </x:c>
      <x:c r="K4" s="1" t="s">
        <x:v>9</x:v>
      </x:c>
      <x:c r="L4" s="1"/>
      <x:c r="M4" s="1"/>
      <x:c r="N4" s="1"/>
      <x:c r="O4" s="1"/>
      <x:c r="P4" s="1"/>
      <x:c r="Q4" s="1"/>
      <x:c r="R4" s="1"/>
      <x:c r="S4" s="1"/>
      <x:c r="T4" s="1"/>
      <x:c r="U4" s="1"/>
      <x:c r="V4" s="1"/>
    </x:row>
    <x:row r="5" ht="30">
      <x:c r="A5" s="1" t="s">
        <x:v>10</x:v>
      </x:c>
      <x:c r="B5" s="1">
        <x:v>0</x:v>
      </x:c>
      <x:c r="C5" s="1"/>
      <x:c r="D5" s="1"/>
      <x:c r="E5" s="1"/>
      <x:c r="F5" s="1"/>
      <x:c r="G5" s="1"/>
      <x:c r="H5" s="1"/>
      <x:c r="I5" s="1" t="s">
        <x:v>11</x:v>
      </x:c>
      <x:c r="J5" s="1" t="s">
        <x:v>12</x:v>
      </x:c>
      <x:c r="K5" s="1" t="s">
        <x:v>13</x:v>
      </x:c>
      <x:c r="L5" s="1"/>
      <x:c r="M5" s="1"/>
      <x:c r="N5" s="1"/>
      <x:c r="O5" s="1"/>
      <x:c r="P5" s="1"/>
      <x:c r="Q5" s="1"/>
      <x:c r="R5" s="1"/>
      <x:c r="S5" s="1"/>
      <x:c r="T5" s="1"/>
      <x:c r="U5" s="1"/>
      <x:c r="V5" s="1"/>
    </x:row>
    <x:row r="6" ht="60">
      <x:c r="A6" s="1" t="s">
        <x:v>14</x:v>
      </x:c>
      <x:c r="B6" s="1">
        <x:v>0</x:v>
      </x:c>
      <x:c r="C6" s="1"/>
      <x:c r="D6" s="1"/>
      <x:c r="E6" s="1"/>
      <x:c r="F6" s="1"/>
      <x:c r="G6" s="1"/>
      <x:c r="H6" s="1"/>
      <x:c r="I6" s="1" t="s">
        <x:v>15</x:v>
      </x:c>
      <x:c r="J6" s="1" t="s">
        <x:v>16</x:v>
      </x:c>
      <x:c r="K6" s="1" t="s">
        <x:v>17</x:v>
      </x:c>
      <x:c r="L6" s="1"/>
      <x:c r="M6" s="1"/>
      <x:c r="N6" s="1"/>
      <x:c r="O6" s="1"/>
      <x:c r="P6" s="1"/>
      <x:c r="Q6" s="1"/>
      <x:c r="R6" s="1"/>
      <x:c r="S6" s="1"/>
      <x:c r="T6" s="1"/>
      <x:c r="U6" s="1"/>
      <x:c r="V6" s="1"/>
    </x:row>
    <x:row r="7" ht="24.399999618530273" customHeight="1">
      <x:c r="A7" s="1"/>
      <x:c r="B7" s="1"/>
      <x:c r="C7" s="1"/>
      <x:c r="D7" s="1"/>
      <x:c r="E7" s="1"/>
      <x:c r="F7" s="1"/>
      <x:c r="G7" s="1"/>
      <x:c r="H7" s="1"/>
      <x:c r="I7" s="1"/>
      <x:c r="J7" s="4" t="s">
        <x:v>18</x:v>
      </x:c>
      <x:c r="K7" s="4" t="s">
        <x:v>19</x:v>
      </x:c>
      <x:c r="L7" s="4" t="s">
        <x:v>20</x:v>
      </x:c>
      <x:c r="M7" s="4" t="s">
        <x:v>21</x:v>
      </x:c>
      <x:c r="N7" s="4" t="s">
        <x:v>22</x:v>
      </x:c>
      <x:c r="O7" s="4" t="s">
        <x:v>23</x:v>
      </x:c>
      <x:c r="P7" s="4" t="s">
        <x:v>24</x:v>
      </x:c>
      <x:c r="Q7" s="1"/>
      <x:c r="R7" s="1"/>
      <x:c r="S7" s="1"/>
      <x:c r="T7" s="1"/>
      <x:c r="U7" s="1"/>
      <x:c r="V7" s="1"/>
    </x:row>
    <x:row r="8" ht="26.850000381469727" customHeight="1">
      <x:c r="A8" s="2" t="s">
        <x:v>25</x:v>
      </x:c>
      <x:c r="B8" s="2" t="s">
        <x:v>26</x:v>
      </x:c>
      <x:c r="C8" s="3" t="s">
        <x:v>27</x:v>
      </x:c>
      <x:c r="D8" s="3" t="s">
        <x:v>28</x:v>
      </x:c>
      <x:c r="E8" s="3" t="s">
        <x:v>29</x:v>
      </x:c>
      <x:c r="F8" s="3" t="s">
        <x:v>30</x:v>
      </x:c>
      <x:c r="G8" s="3" t="s">
        <x:v>31</x:v>
      </x:c>
      <x:c r="H8" s="2" t="s">
        <x:v>32</x:v>
      </x:c>
      <x:c r="I8" s="2" t="s">
        <x:v>33</x:v>
      </x:c>
      <x:c r="J8" s="2" t="s">
        <x:v>34</x:v>
      </x:c>
      <x:c r="K8" s="2" t="s">
        <x:v>35</x:v>
      </x:c>
      <x:c r="L8" s="2" t="s">
        <x:v>36</x:v>
      </x:c>
      <x:c r="M8" s="2" t="s">
        <x:v>37</x:v>
      </x:c>
      <x:c r="N8" s="2" t="s">
        <x:v>38</x:v>
      </x:c>
      <x:c r="O8" s="2" t="s">
        <x:v>39</x:v>
      </x:c>
      <x:c r="P8" s="2" t="s">
        <x:v>40</x:v>
      </x:c>
      <x:c r="Q8" s="2" t="s">
        <x:v>41</x:v>
      </x:c>
      <x:c r="R8" s="2" t="s">
        <x:v>42</x:v>
      </x:c>
      <x:c r="S8" s="2" t="s">
        <x:v>43</x:v>
      </x:c>
      <x:c r="T8" s="2" t="s">
        <x:v>44</x:v>
      </x:c>
      <x:c r="U8" s="2" t="s">
        <x:v>45</x:v>
      </x:c>
      <x:c r="V8" s="2" t="s">
        <x:v>46</x:v>
      </x:c>
    </x:row>
    <x:row r="9" ht="174.60000610351562" customHeight="1">
      <x:c r="A9" s="5">
        <x:v>46141</x:v>
      </x:c>
      <x:c r="B9" s="1" t="s">
        <x:v>47</x:v>
      </x:c>
      <x:c r="C9" s="8">
        <x:v>276.72000000000003</x:v>
      </x:c>
      <x:c r="D9" s="6">
        <x:v>272.67</x:v>
      </x:c>
      <x:c r="E9" s="7">
        <x:v>54.16</x:v>
      </x:c>
      <x:c r="F9" s="6" t="n">
        <x:f t="shared" ref="F9:F23" si="0">IF(OR(D9="",E9=""),"",D9*E9)</x:f>
        <x:v>14767.8072</x:v>
      </x:c>
      <x:c r="G9" s="6" t="n">
        <x:f t="shared" ref="G9:G23" si="1">IF(OR(C9="",D9="",E9=""),"",C9*E9-F9)</x:f>
        <x:v>219.34800000000178</x:v>
      </x:c>
      <x:c r="H9" s="1" t="s">
        <x:v>48</x:v>
      </x:c>
      <x:c r="I9" s="1" t="s">
        <x:v>49</x:v>
      </x:c>
      <x:c r="J9" s="1" t="s">
        <x:v>50</x:v>
      </x:c>
      <x:c r="K9" s="1" t="s">
        <x:v>51</x:v>
      </x:c>
      <x:c r="L9" s="1" t="s">
        <x:v>52</x:v>
      </x:c>
      <x:c r="M9" s="1" t="s">
        <x:v>53</x:v>
      </x:c>
      <x:c r="N9" s="1" t="s">
        <x:v>54</x:v>
      </x:c>
      <x:c r="O9" s="1" t="s">
        <x:v>55</x:v>
      </x:c>
      <x:c r="P9" s="1" t="s">
        <x:v>56</x:v>
      </x:c>
      <x:c r="Q9" s="1" t="s">
        <x:v>57</x:v>
      </x:c>
      <x:c r="R9" s="1" t="s">
        <x:v>58</x:v>
      </x:c>
      <x:c r="S9" s="1" t="s">
        <x:v>59</x:v>
      </x:c>
      <x:c r="T9" s="1" t="s">
        <x:v>60</x:v>
      </x:c>
      <x:c r="U9" s="1" t="s">
        <x:v>61</x:v>
      </x:c>
      <x:c r="V9" s="1" t="s">
        <x:v>62</x:v>
      </x:c>
    </x:row>
    <x:row r="10" ht="120.75" customHeight="1">
      <x:c r="A10" s="5">
        <x:v>46141</x:v>
      </x:c>
      <x:c r="B10" s="1" t="s">
        <x:v>63</x:v>
      </x:c>
      <x:c r="C10" s="8">
        <x:v>76.989999999999995</x:v>
      </x:c>
      <x:c r="D10" s="6">
        <x:v>86.37</x:v>
      </x:c>
      <x:c r="E10" s="7">
        <x:v>41</x:v>
      </x:c>
      <x:c r="F10" s="6">
        <x:f t="shared" si="0"/>
        <x:v>3541.17</x:v>
      </x:c>
      <x:c r="G10" s="6">
        <x:f t="shared" si="1"/>
        <x:v>-384.58000000000038</x:v>
      </x:c>
      <x:c r="H10" s="1" t="s">
        <x:v>48</x:v>
      </x:c>
      <x:c r="I10" s="1" t="s">
        <x:v>49</x:v>
      </x:c>
      <x:c r="J10" s="1" t="s">
        <x:v>64</x:v>
      </x:c>
      <x:c r="K10" s="1" t="s">
        <x:v>65</x:v>
      </x:c>
      <x:c r="L10" s="1" t="s">
        <x:v>66</x:v>
      </x:c>
      <x:c r="M10" s="1" t="s">
        <x:v>67</x:v>
      </x:c>
      <x:c r="N10" s="1" t="s">
        <x:v>54</x:v>
      </x:c>
      <x:c r="O10" s="1" t="s">
        <x:v>68</x:v>
      </x:c>
      <x:c r="P10" s="1" t="s">
        <x:v>69</x:v>
      </x:c>
      <x:c r="Q10" s="1" t="s">
        <x:v>57</x:v>
      </x:c>
      <x:c r="R10" s="1" t="s">
        <x:v>70</x:v>
      </x:c>
      <x:c r="S10" s="1" t="s">
        <x:v>71</x:v>
      </x:c>
      <x:c r="T10" s="1" t="s">
        <x:v>72</x:v>
      </x:c>
      <x:c r="U10" s="1" t="s">
        <x:v>73</x:v>
      </x:c>
      <x:c r="V10" s="1" t="s">
        <x:v>74</x:v>
      </x:c>
    </x:row>
    <x:row r="11" ht="134.25" customHeight="1">
      <x:c r="A11" s="5">
        <x:v>46141</x:v>
      </x:c>
      <x:c r="B11" s="1" t="s">
        <x:v>75</x:v>
      </x:c>
      <x:c r="C11" s="8">
        <x:v>59.07</x:v>
      </x:c>
      <x:c r="D11" s="6">
        <x:v>56.28</x:v>
      </x:c>
      <x:c r="E11" s="7">
        <x:v>60</x:v>
      </x:c>
      <x:c r="F11" s="6">
        <x:f t="shared" si="0"/>
        <x:v>3376.8</x:v>
      </x:c>
      <x:c r="G11" s="6">
        <x:f t="shared" si="1"/>
        <x:v>167.39999999999964</x:v>
      </x:c>
      <x:c r="H11" s="1" t="s">
        <x:v>48</x:v>
      </x:c>
      <x:c r="I11" s="1" t="s">
        <x:v>49</x:v>
      </x:c>
      <x:c r="J11" s="1" t="s">
        <x:v>76</x:v>
      </x:c>
      <x:c r="K11" s="1" t="s">
        <x:v>77</x:v>
      </x:c>
      <x:c r="L11" s="1" t="s">
        <x:v>78</x:v>
      </x:c>
      <x:c r="M11" s="1" t="s">
        <x:v>79</x:v>
      </x:c>
      <x:c r="N11" s="1" t="s">
        <x:v>54</x:v>
      </x:c>
      <x:c r="O11" s="1" t="s">
        <x:v>80</x:v>
      </x:c>
      <x:c r="P11" s="1" t="s">
        <x:v>81</x:v>
      </x:c>
      <x:c r="Q11" s="1" t="s">
        <x:v>57</x:v>
      </x:c>
      <x:c r="R11" s="1" t="s">
        <x:v>58</x:v>
      </x:c>
      <x:c r="S11" s="1" t="s">
        <x:v>82</x:v>
      </x:c>
      <x:c r="T11" s="1" t="s">
        <x:v>83</x:v>
      </x:c>
      <x:c r="U11" s="1" t="s">
        <x:v>84</x:v>
      </x:c>
      <x:c r="V11" s="1" t="s">
        <x:v>85</x:v>
      </x:c>
    </x:row>
    <x:row r="12" ht="174.60000610351562" customHeight="1">
      <x:c r="A12" s="5">
        <x:v>46141</x:v>
      </x:c>
      <x:c r="B12" s="1" t="s">
        <x:v>86</x:v>
      </x:c>
      <x:c r="C12" s="8">
        <x:v>142.09</x:v>
      </x:c>
      <x:c r="D12" s="6">
        <x:v>160.41</x:v>
      </x:c>
      <x:c r="E12" s="7">
        <x:v>20.04</x:v>
      </x:c>
      <x:c r="F12" s="6">
        <x:f t="shared" si="0"/>
        <x:v>3214.6163999999999</x:v>
      </x:c>
      <x:c r="G12" s="6">
        <x:f t="shared" si="1"/>
        <x:v>-367.13279999999986</x:v>
      </x:c>
      <x:c r="H12" s="1" t="s">
        <x:v>48</x:v>
      </x:c>
      <x:c r="I12" s="1" t="s">
        <x:v>49</x:v>
      </x:c>
      <x:c r="J12" s="1" t="s">
        <x:v>87</x:v>
      </x:c>
      <x:c r="K12" s="1" t="s">
        <x:v>88</x:v>
      </x:c>
      <x:c r="L12" s="1" t="s">
        <x:v>89</x:v>
      </x:c>
      <x:c r="M12" s="1" t="s">
        <x:v>90</x:v>
      </x:c>
      <x:c r="N12" s="1" t="s">
        <x:v>91</x:v>
      </x:c>
      <x:c r="O12" s="1" t="s">
        <x:v>92</x:v>
      </x:c>
      <x:c r="P12" s="1" t="s">
        <x:v>93</x:v>
      </x:c>
      <x:c r="Q12" s="1" t="s">
        <x:v>57</x:v>
      </x:c>
      <x:c r="R12" s="1" t="s">
        <x:v>58</x:v>
      </x:c>
      <x:c r="S12" s="1" t="s">
        <x:v>94</x:v>
      </x:c>
      <x:c r="T12" s="1" t="s">
        <x:v>95</x:v>
      </x:c>
      <x:c r="U12" s="1" t="s">
        <x:v>96</x:v>
      </x:c>
      <x:c r="V12" s="1" t="s">
        <x:v>97</x:v>
      </x:c>
    </x:row>
    <x:row r="13" ht="187.89999389648438" customHeight="1">
      <x:c r="A13" s="5">
        <x:v>46141</x:v>
      </x:c>
      <x:c r="B13" s="1" t="s">
        <x:v>98</x:v>
      </x:c>
      <x:c r="C13" s="8">
        <x:v>18.96</x:v>
      </x:c>
      <x:c r="D13" s="6">
        <x:v>24.55</x:v>
      </x:c>
      <x:c r="E13" s="7">
        <x:v>111</x:v>
      </x:c>
      <x:c r="F13" s="6">
        <x:f t="shared" si="0"/>
        <x:v>2725.05</x:v>
      </x:c>
      <x:c r="G13" s="6">
        <x:f t="shared" si="1"/>
        <x:v>-620.49000000000024</x:v>
      </x:c>
      <x:c r="H13" s="1" t="s">
        <x:v>48</x:v>
      </x:c>
      <x:c r="I13" s="1" t="s">
        <x:v>49</x:v>
      </x:c>
      <x:c r="J13" s="1" t="s">
        <x:v>99</x:v>
      </x:c>
      <x:c r="K13" s="1" t="s">
        <x:v>77</x:v>
      </x:c>
      <x:c r="L13" s="1" t="s">
        <x:v>100</x:v>
      </x:c>
      <x:c r="M13" s="1" t="s">
        <x:v>101</x:v>
      </x:c>
      <x:c r="N13" s="1" t="s">
        <x:v>91</x:v>
      </x:c>
      <x:c r="O13" s="1" t="s">
        <x:v>102</x:v>
      </x:c>
      <x:c r="P13" s="1" t="s">
        <x:v>103</x:v>
      </x:c>
      <x:c r="Q13" s="1" t="s">
        <x:v>57</x:v>
      </x:c>
      <x:c r="R13" s="1" t="s">
        <x:v>70</x:v>
      </x:c>
      <x:c r="S13" s="1" t="s">
        <x:v>71</x:v>
      </x:c>
      <x:c r="T13" s="1" t="s">
        <x:v>104</x:v>
      </x:c>
      <x:c r="U13" s="1" t="s">
        <x:v>105</x:v>
      </x:c>
      <x:c r="V13" s="1" t="s">
        <x:v>106</x:v>
      </x:c>
    </x:row>
    <x:row r="14" ht="147.75" customHeight="1">
      <x:c r="A14" s="5">
        <x:v>46141</x:v>
      </x:c>
      <x:c r="B14" s="1" t="s">
        <x:v>107</x:v>
      </x:c>
      <x:c r="C14" s="8">
        <x:v>281.33</x:v>
      </x:c>
      <x:c r="D14" s="6">
        <x:v>270.7</x:v>
      </x:c>
      <x:c r="E14" s="7">
        <x:v>10</x:v>
      </x:c>
      <x:c r="F14" s="6">
        <x:f t="shared" si="0"/>
        <x:v>2707</x:v>
      </x:c>
      <x:c r="G14" s="6">
        <x:f t="shared" si="1"/>
        <x:v>106.29999999999973</x:v>
      </x:c>
      <x:c r="H14" s="1" t="s">
        <x:v>48</x:v>
      </x:c>
      <x:c r="I14" s="1" t="s">
        <x:v>49</x:v>
      </x:c>
      <x:c r="J14" s="1" t="s">
        <x:v>108</x:v>
      </x:c>
      <x:c r="K14" s="1" t="s">
        <x:v>109</x:v>
      </x:c>
      <x:c r="L14" s="1" t="s">
        <x:v>110</x:v>
      </x:c>
      <x:c r="M14" s="1" t="s">
        <x:v>111</x:v>
      </x:c>
      <x:c r="N14" s="1" t="s">
        <x:v>91</x:v>
      </x:c>
      <x:c r="O14" s="1" t="s">
        <x:v>112</x:v>
      </x:c>
      <x:c r="P14" s="1" t="s">
        <x:v>113</x:v>
      </x:c>
      <x:c r="Q14" s="1" t="s">
        <x:v>57</x:v>
      </x:c>
      <x:c r="R14" s="1" t="s">
        <x:v>70</x:v>
      </x:c>
      <x:c r="S14" s="1" t="s">
        <x:v>71</x:v>
      </x:c>
      <x:c r="T14" s="1" t="s">
        <x:v>114</x:v>
      </x:c>
      <x:c r="U14" s="1" t="s">
        <x:v>115</x:v>
      </x:c>
      <x:c r="V14" s="1" t="s">
        <x:v>116</x:v>
      </x:c>
    </x:row>
    <x:row r="15" ht="174.60000610351562" customHeight="1">
      <x:c r="A15" s="5">
        <x:v>46141</x:v>
      </x:c>
      <x:c r="B15" s="1" t="s">
        <x:v>117</x:v>
      </x:c>
      <x:c r="C15" s="8">
        <x:v>222.35</x:v>
      </x:c>
      <x:c r="D15" s="6">
        <x:v>183.68</x:v>
      </x:c>
      <x:c r="E15" s="7">
        <x:v>5</x:v>
      </x:c>
      <x:c r="F15" s="6">
        <x:f t="shared" si="0"/>
        <x:v>918.40000000000009</x:v>
      </x:c>
      <x:c r="G15" s="6">
        <x:f t="shared" si="1"/>
        <x:v>193.34999999999991</x:v>
      </x:c>
      <x:c r="H15" s="1" t="s">
        <x:v>48</x:v>
      </x:c>
      <x:c r="I15" s="1" t="s">
        <x:v>49</x:v>
      </x:c>
      <x:c r="J15" s="1" t="s">
        <x:v>118</x:v>
      </x:c>
      <x:c r="K15" s="1" t="s">
        <x:v>65</x:v>
      </x:c>
      <x:c r="L15" s="1" t="s">
        <x:v>119</x:v>
      </x:c>
      <x:c r="M15" s="1" t="s">
        <x:v>120</x:v>
      </x:c>
      <x:c r="N15" s="1" t="s">
        <x:v>91</x:v>
      </x:c>
      <x:c r="O15" s="1" t="s">
        <x:v>121</x:v>
      </x:c>
      <x:c r="P15" s="1" t="s">
        <x:v>122</x:v>
      </x:c>
      <x:c r="Q15" s="1" t="s">
        <x:v>57</x:v>
      </x:c>
      <x:c r="R15" s="1" t="s">
        <x:v>70</x:v>
      </x:c>
      <x:c r="S15" s="1" t="s">
        <x:v>71</x:v>
      </x:c>
      <x:c r="T15" s="1" t="s">
        <x:v>123</x:v>
      </x:c>
      <x:c r="U15" s="1" t="s">
        <x:v>124</x:v>
      </x:c>
      <x:c r="V15" s="1" t="s">
        <x:v>125</x:v>
      </x:c>
    </x:row>
    <x:row r="16" ht="174.60000610351562" customHeight="1">
      <x:c r="A16" s="5">
        <x:v>46141</x:v>
      </x:c>
      <x:c r="B16" s="1" t="s">
        <x:v>126</x:v>
      </x:c>
      <x:c r="C16" s="8">
        <x:v>171.68</x:v>
      </x:c>
      <x:c r="D16" s="6">
        <x:v>170.06</x:v>
      </x:c>
      <x:c r="E16" s="7">
        <x:v>10</x:v>
      </x:c>
      <x:c r="F16" s="6">
        <x:f t="shared" si="0"/>
        <x:v>1700.6</x:v>
      </x:c>
      <x:c r="G16" s="6">
        <x:f t="shared" si="1"/>
        <x:v>16.200000000000273</x:v>
      </x:c>
      <x:c r="H16" s="1" t="s">
        <x:v>127</x:v>
      </x:c>
      <x:c r="I16" s="1" t="s">
        <x:v>49</x:v>
      </x:c>
      <x:c r="J16" s="1" t="s">
        <x:v>128</x:v>
      </x:c>
      <x:c r="K16" s="1" t="s">
        <x:v>65</x:v>
      </x:c>
      <x:c r="L16" s="1" t="s">
        <x:v>129</x:v>
      </x:c>
      <x:c r="M16" s="1" t="s">
        <x:v>130</x:v>
      </x:c>
      <x:c r="N16" s="1" t="s">
        <x:v>91</x:v>
      </x:c>
      <x:c r="O16" s="1" t="s">
        <x:v>131</x:v>
      </x:c>
      <x:c r="P16" s="1" t="s">
        <x:v>132</x:v>
      </x:c>
      <x:c r="Q16" s="1" t="s">
        <x:v>57</x:v>
      </x:c>
      <x:c r="R16" s="1" t="s">
        <x:v>58</x:v>
      </x:c>
      <x:c r="S16" s="1" t="s">
        <x:v>94</x:v>
      </x:c>
      <x:c r="T16" s="1" t="s">
        <x:v>133</x:v>
      </x:c>
      <x:c r="U16" s="1" t="s">
        <x:v>134</x:v>
      </x:c>
      <x:c r="V16" s="1" t="s">
        <x:v>135</x:v>
      </x:c>
    </x:row>
    <x:row r="17" ht="187.89999389648438" customHeight="1">
      <x:c r="A17" s="5">
        <x:v>46141</x:v>
      </x:c>
      <x:c r="B17" s="1" t="s">
        <x:v>136</x:v>
      </x:c>
      <x:c r="C17" s="8">
        <x:v>367.51</x:v>
      </x:c>
      <x:c r="D17" s="6">
        <x:v>324</x:v>
      </x:c>
      <x:c r="E17" s="7">
        <x:v>4</x:v>
      </x:c>
      <x:c r="F17" s="6">
        <x:f t="shared" si="0"/>
        <x:v>1296</x:v>
      </x:c>
      <x:c r="G17" s="6">
        <x:f t="shared" si="1"/>
        <x:v>174.03999999999996</x:v>
      </x:c>
      <x:c r="H17" s="1" t="s">
        <x:v>48</x:v>
      </x:c>
      <x:c r="I17" s="1" t="s">
        <x:v>49</x:v>
      </x:c>
      <x:c r="J17" s="1" t="s">
        <x:v>137</x:v>
      </x:c>
      <x:c r="K17" s="1" t="s">
        <x:v>138</x:v>
      </x:c>
      <x:c r="L17" s="1" t="s">
        <x:v>129</x:v>
      </x:c>
      <x:c r="M17" s="1" t="s">
        <x:v>139</x:v>
      </x:c>
      <x:c r="N17" s="1" t="s">
        <x:v>91</x:v>
      </x:c>
      <x:c r="O17" s="1" t="s">
        <x:v>140</x:v>
      </x:c>
      <x:c r="P17" s="1" t="s">
        <x:v>141</x:v>
      </x:c>
      <x:c r="Q17" s="1" t="s">
        <x:v>57</x:v>
      </x:c>
      <x:c r="R17" s="1" t="s">
        <x:v>58</x:v>
      </x:c>
      <x:c r="S17" s="1" t="s">
        <x:v>82</x:v>
      </x:c>
      <x:c r="T17" s="1" t="s">
        <x:v>142</x:v>
      </x:c>
      <x:c r="U17" s="1" t="s">
        <x:v>143</x:v>
      </x:c>
      <x:c r="V17" s="1" t="s">
        <x:v>144</x:v>
      </x:c>
    </x:row>
    <x:row r="18" ht="147.75" customHeight="1">
      <x:c r="A18" s="5">
        <x:v>46141</x:v>
      </x:c>
      <x:c r="B18" s="1" t="s">
        <x:v>145</x:v>
      </x:c>
      <x:c r="C18" s="8">
        <x:v>146.54</x:v>
      </x:c>
      <x:c r="D18" s="6">
        <x:v>139.26</x:v>
      </x:c>
      <x:c r="E18" s="7">
        <x:v>10</x:v>
      </x:c>
      <x:c r="F18" s="6">
        <x:f t="shared" si="0"/>
        <x:v>1392.6</x:v>
      </x:c>
      <x:c r="G18" s="6">
        <x:f t="shared" si="1"/>
        <x:v>72.799999999999955</x:v>
      </x:c>
      <x:c r="H18" s="1" t="s">
        <x:v>48</x:v>
      </x:c>
      <x:c r="I18" s="1" t="s">
        <x:v>49</x:v>
      </x:c>
      <x:c r="J18" s="1" t="s">
        <x:v>146</x:v>
      </x:c>
      <x:c r="K18" s="1" t="s">
        <x:v>147</x:v>
      </x:c>
      <x:c r="L18" s="1" t="s">
        <x:v>129</x:v>
      </x:c>
      <x:c r="M18" s="1" t="s">
        <x:v>148</x:v>
      </x:c>
      <x:c r="N18" s="1" t="s">
        <x:v>91</x:v>
      </x:c>
      <x:c r="O18" s="1" t="s">
        <x:v>149</x:v>
      </x:c>
      <x:c r="P18" s="1" t="s">
        <x:v>150</x:v>
      </x:c>
      <x:c r="Q18" s="1" t="s">
        <x:v>57</x:v>
      </x:c>
      <x:c r="R18" s="1" t="s">
        <x:v>58</x:v>
      </x:c>
      <x:c r="S18" s="1" t="s">
        <x:v>82</x:v>
      </x:c>
      <x:c r="T18" s="1" t="s">
        <x:v>151</x:v>
      </x:c>
      <x:c r="U18" s="1" t="s">
        <x:v>152</x:v>
      </x:c>
      <x:c r="V18" s="1" t="s">
        <x:v>153</x:v>
      </x:c>
    </x:row>
    <x:row r="19" ht="201.39999389648438" customHeight="1">
      <x:c r="A19" s="5">
        <x:v>46141</x:v>
      </x:c>
      <x:c r="B19" s="1" t="s">
        <x:v>154</x:v>
      </x:c>
      <x:c r="C19" s="8">
        <x:v>44.28</x:v>
      </x:c>
      <x:c r="D19" s="6">
        <x:v>44.94</x:v>
      </x:c>
      <x:c r="E19" s="7">
        <x:v>26</x:v>
      </x:c>
      <x:c r="F19" s="6">
        <x:f t="shared" si="0"/>
        <x:v>1168.44</x:v>
      </x:c>
      <x:c r="G19" s="6">
        <x:f t="shared" si="1"/>
        <x:v>-17.160000000000082</x:v>
      </x:c>
      <x:c r="H19" s="1" t="s">
        <x:v>48</x:v>
      </x:c>
      <x:c r="I19" s="1" t="s">
        <x:v>49</x:v>
      </x:c>
      <x:c r="J19" s="1" t="s">
        <x:v>87</x:v>
      </x:c>
      <x:c r="K19" s="1" t="s">
        <x:v>88</x:v>
      </x:c>
      <x:c r="L19" s="1" t="s">
        <x:v>155</x:v>
      </x:c>
      <x:c r="M19" s="1" t="s">
        <x:v>156</x:v>
      </x:c>
      <x:c r="N19" s="1" t="s">
        <x:v>91</x:v>
      </x:c>
      <x:c r="O19" s="1" t="s">
        <x:v>157</x:v>
      </x:c>
      <x:c r="P19" s="1" t="s">
        <x:v>158</x:v>
      </x:c>
      <x:c r="Q19" s="1" t="s">
        <x:v>57</x:v>
      </x:c>
      <x:c r="R19" s="1" t="s">
        <x:v>58</x:v>
      </x:c>
      <x:c r="S19" s="1" t="s">
        <x:v>94</x:v>
      </x:c>
      <x:c r="T19" s="1" t="s">
        <x:v>159</x:v>
      </x:c>
      <x:c r="U19" s="1" t="s">
        <x:v>160</x:v>
      </x:c>
      <x:c r="V19" s="1" t="s">
        <x:v>161</x:v>
      </x:c>
    </x:row>
    <x:row r="20" ht="174.60000610351562" customHeight="1">
      <x:c r="A20" s="5">
        <x:v>46141</x:v>
      </x:c>
      <x:c r="B20" s="1" t="s">
        <x:v>162</x:v>
      </x:c>
      <x:c r="C20" s="8">
        <x:v>28.55</x:v>
      </x:c>
      <x:c r="D20" s="6">
        <x:v>31.26</x:v>
      </x:c>
      <x:c r="E20" s="7">
        <x:v>40</x:v>
      </x:c>
      <x:c r="F20" s="6">
        <x:f t="shared" si="0"/>
        <x:v>1250.4000000000001</x:v>
      </x:c>
      <x:c r="G20" s="6">
        <x:f t="shared" si="1"/>
        <x:v>-108.40000000000009</x:v>
      </x:c>
      <x:c r="H20" s="1" t="s">
        <x:v>127</x:v>
      </x:c>
      <x:c r="I20" s="1" t="s">
        <x:v>49</x:v>
      </x:c>
      <x:c r="J20" s="1" t="s">
        <x:v>163</x:v>
      </x:c>
      <x:c r="K20" s="1" t="s">
        <x:v>65</x:v>
      </x:c>
      <x:c r="L20" s="1" t="s">
        <x:v>129</x:v>
      </x:c>
      <x:c r="M20" s="1" t="s">
        <x:v>164</x:v>
      </x:c>
      <x:c r="N20" s="1" t="s">
        <x:v>91</x:v>
      </x:c>
      <x:c r="O20" s="1" t="s">
        <x:v>165</x:v>
      </x:c>
      <x:c r="P20" s="1" t="s">
        <x:v>166</x:v>
      </x:c>
      <x:c r="Q20" s="1" t="s">
        <x:v>57</x:v>
      </x:c>
      <x:c r="R20" s="1" t="s">
        <x:v>58</x:v>
      </x:c>
      <x:c r="S20" s="1" t="s">
        <x:v>82</x:v>
      </x:c>
      <x:c r="T20" s="1" t="s">
        <x:v>167</x:v>
      </x:c>
      <x:c r="U20" s="1" t="s">
        <x:v>168</x:v>
      </x:c>
      <x:c r="V20" s="1" t="s">
        <x:v>169</x:v>
      </x:c>
    </x:row>
    <x:row r="21" ht="174.60000610351562" customHeight="1">
      <x:c r="A21" s="5">
        <x:v>46141</x:v>
      </x:c>
      <x:c r="B21" s="1" t="s">
        <x:v>170</x:v>
      </x:c>
      <x:c r="C21" s="8">
        <x:v>182.51</x:v>
      </x:c>
      <x:c r="D21" s="6">
        <x:v>158.79</x:v>
      </x:c>
      <x:c r="E21" s="7">
        <x:v>3.3359999999999999</x:v>
      </x:c>
      <x:c r="F21" s="6">
        <x:f t="shared" si="0"/>
        <x:v>529.72343999999998</x:v>
      </x:c>
      <x:c r="G21" s="6">
        <x:f t="shared" si="1"/>
        <x:v>79.12991999999997</x:v>
      </x:c>
      <x:c r="H21" s="1" t="s">
        <x:v>48</x:v>
      </x:c>
      <x:c r="I21" s="1" t="s">
        <x:v>49</x:v>
      </x:c>
      <x:c r="J21" s="1" t="s">
        <x:v>171</x:v>
      </x:c>
      <x:c r="K21" s="1" t="s">
        <x:v>138</x:v>
      </x:c>
      <x:c r="L21" s="1" t="s">
        <x:v>129</x:v>
      </x:c>
      <x:c r="M21" s="1" t="s">
        <x:v>172</x:v>
      </x:c>
      <x:c r="N21" s="1" t="s">
        <x:v>91</x:v>
      </x:c>
      <x:c r="O21" s="1" t="s">
        <x:v>173</x:v>
      </x:c>
      <x:c r="P21" s="1" t="s">
        <x:v>174</x:v>
      </x:c>
      <x:c r="Q21" s="1" t="s">
        <x:v>57</x:v>
      </x:c>
      <x:c r="R21" s="1" t="s">
        <x:v>58</x:v>
      </x:c>
      <x:c r="S21" s="1" t="s">
        <x:v>82</x:v>
      </x:c>
      <x:c r="T21" s="1" t="s">
        <x:v>175</x:v>
      </x:c>
      <x:c r="U21" s="1" t="s">
        <x:v>176</x:v>
      </x:c>
      <x:c r="V21" s="1" t="s">
        <x:v>177</x:v>
      </x:c>
    </x:row>
    <x:row r="22" ht="161.10000610351562" customHeight="1">
      <x:c r="A22" s="5">
        <x:v>46141</x:v>
      </x:c>
      <x:c r="B22" s="1" t="s">
        <x:v>178</x:v>
      </x:c>
      <x:c r="C22" s="8">
        <x:v>14.63</x:v>
      </x:c>
      <x:c r="D22" s="6">
        <x:v>15.87</x:v>
      </x:c>
      <x:c r="E22" s="7">
        <x:v>50</x:v>
      </x:c>
      <x:c r="F22" s="6">
        <x:f t="shared" si="0"/>
        <x:v>793.5</x:v>
      </x:c>
      <x:c r="G22" s="6">
        <x:f t="shared" si="1"/>
        <x:v>-62</x:v>
      </x:c>
      <x:c r="H22" s="1" t="s">
        <x:v>48</x:v>
      </x:c>
      <x:c r="I22" s="1" t="s">
        <x:v>49</x:v>
      </x:c>
      <x:c r="J22" s="1" t="s">
        <x:v>179</x:v>
      </x:c>
      <x:c r="K22" s="1" t="s">
        <x:v>180</x:v>
      </x:c>
      <x:c r="L22" s="1" t="s">
        <x:v>129</x:v>
      </x:c>
      <x:c r="M22" s="1" t="s">
        <x:v>181</x:v>
      </x:c>
      <x:c r="N22" s="1" t="s">
        <x:v>91</x:v>
      </x:c>
      <x:c r="O22" s="1" t="s">
        <x:v>182</x:v>
      </x:c>
      <x:c r="P22" s="1" t="s">
        <x:v>183</x:v>
      </x:c>
      <x:c r="Q22" s="1" t="s">
        <x:v>57</x:v>
      </x:c>
      <x:c r="R22" s="1" t="s">
        <x:v>58</x:v>
      </x:c>
      <x:c r="S22" s="1" t="s">
        <x:v>82</x:v>
      </x:c>
      <x:c r="T22" s="1" t="s">
        <x:v>184</x:v>
      </x:c>
      <x:c r="U22" s="1" t="s">
        <x:v>185</x:v>
      </x:c>
      <x:c r="V22" s="1" t="s">
        <x:v>186</x:v>
      </x:c>
    </x:row>
    <x:row r="23" ht="228.1999969482422" customHeight="1">
      <x:c r="A23" s="5">
        <x:v>46141</x:v>
      </x:c>
      <x:c r="B23" s="1" t="s">
        <x:v>187</x:v>
      </x:c>
      <x:c r="C23" s="8">
        <x:v>6.72</x:v>
      </x:c>
      <x:c r="D23" s="6">
        <x:v>7.19</x:v>
      </x:c>
      <x:c r="E23" s="7">
        <x:v>100</x:v>
      </x:c>
      <x:c r="F23" s="6">
        <x:f t="shared" si="0"/>
        <x:v>719</x:v>
      </x:c>
      <x:c r="G23" s="6">
        <x:f t="shared" si="1"/>
        <x:v>-47</x:v>
      </x:c>
      <x:c r="H23" s="1" t="s">
        <x:v>48</x:v>
      </x:c>
      <x:c r="I23" s="1" t="s">
        <x:v>49</x:v>
      </x:c>
      <x:c r="J23" s="1" t="s">
        <x:v>128</x:v>
      </x:c>
      <x:c r="K23" s="1" t="s">
        <x:v>109</x:v>
      </x:c>
      <x:c r="L23" s="1" t="s">
        <x:v>129</x:v>
      </x:c>
      <x:c r="M23" s="1" t="s">
        <x:v>188</x:v>
      </x:c>
      <x:c r="N23" s="1" t="s">
        <x:v>91</x:v>
      </x:c>
      <x:c r="O23" s="1" t="s">
        <x:v>189</x:v>
      </x:c>
      <x:c r="P23" s="1" t="s">
        <x:v>190</x:v>
      </x:c>
      <x:c r="Q23" s="1" t="s">
        <x:v>57</x:v>
      </x:c>
      <x:c r="R23" s="1" t="s">
        <x:v>58</x:v>
      </x:c>
      <x:c r="S23" s="1" t="s">
        <x:v>191</x:v>
      </x:c>
      <x:c r="T23" s="1" t="s">
        <x:v>192</x:v>
      </x:c>
      <x:c r="U23" s="1" t="s">
        <x:v>193</x:v>
      </x:c>
      <x:c r="V23" s="1" t="s">
        <x:v>194</x:v>
      </x:c>
    </x:row>
    <x:row r="24" ht="214.89999389648438" customHeight="1">
      <x:c r="A24" s="9">
        <x:v>46141</x:v>
      </x:c>
      <x:c r="B24" s="1" t="s">
        <x:v>195</x:v>
      </x:c>
      <x:c r="C24" s="10">
        <x:v>431.76</x:v>
      </x:c>
      <x:c r="D24" s="10"/>
      <x:c r="E24" s="7"/>
      <x:c r="F24" s="10" t="str">
        <x:f t="shared" ref="F24:F29" si="2">IF(OR(D24="",E24=""),"",D24*E24)</x:f>
      </x:c>
      <x:c r="G24" s="10" t="str">
        <x:f t="shared" ref="G24:G29" si="3">IF(OR(C24="",D24="",E24=""),"",C24*E24-F24)</x:f>
      </x:c>
      <x:c r="H24" s="1" t="s">
        <x:v>48</x:v>
      </x:c>
      <x:c r="I24" s="1" t="s">
        <x:v>49</x:v>
      </x:c>
      <x:c r="J24" s="1" t="s">
        <x:v>171</x:v>
      </x:c>
      <x:c r="K24" s="1" t="s">
        <x:v>147</x:v>
      </x:c>
      <x:c r="L24" s="1" t="s">
        <x:v>129</x:v>
      </x:c>
      <x:c r="M24" s="1" t="s">
        <x:v>120</x:v>
      </x:c>
      <x:c r="N24" s="1" t="s">
        <x:v>91</x:v>
      </x:c>
      <x:c r="O24" s="1" t="s">
        <x:v>196</x:v>
      </x:c>
      <x:c r="P24" s="1" t="s">
        <x:v>197</x:v>
      </x:c>
      <x:c r="Q24" s="1" t="s">
        <x:v>57</x:v>
      </x:c>
      <x:c r="R24" s="1" t="s">
        <x:v>58</x:v>
      </x:c>
      <x:c r="S24" s="1" t="s">
        <x:v>82</x:v>
      </x:c>
      <x:c r="T24" s="1" t="s">
        <x:v>198</x:v>
      </x:c>
      <x:c r="U24" s="1" t="s">
        <x:v>199</x:v>
      </x:c>
      <x:c r="V24" s="1" t="s">
        <x:v>200</x:v>
      </x:c>
    </x:row>
    <x:row r="25" ht="228.1999969482422" customHeight="1">
      <x:c r="A25" s="11">
        <x:v>46141</x:v>
      </x:c>
      <x:c r="B25" s="1" t="s">
        <x:v>201</x:v>
      </x:c>
      <x:c r="C25" s="10">
        <x:v>14.41</x:v>
      </x:c>
      <x:c r="D25" s="10"/>
      <x:c r="E25" s="7"/>
      <x:c r="F25" s="10" t="str">
        <x:f t="shared" si="2"/>
      </x:c>
      <x:c r="G25" s="10" t="str">
        <x:f t="shared" si="3"/>
      </x:c>
      <x:c r="H25" s="1" t="s">
        <x:v>48</x:v>
      </x:c>
      <x:c r="I25" s="1" t="s">
        <x:v>49</x:v>
      </x:c>
      <x:c r="J25" s="1" t="s">
        <x:v>202</x:v>
      </x:c>
      <x:c r="K25" s="1" t="s">
        <x:v>51</x:v>
      </x:c>
      <x:c r="L25" s="1" t="s">
        <x:v>203</x:v>
      </x:c>
      <x:c r="M25" s="1" t="s">
        <x:v>204</x:v>
      </x:c>
      <x:c r="N25" s="1" t="s">
        <x:v>91</x:v>
      </x:c>
      <x:c r="O25" s="1" t="s">
        <x:v>205</x:v>
      </x:c>
      <x:c r="P25" s="1" t="s">
        <x:v>206</x:v>
      </x:c>
      <x:c r="Q25" s="1" t="s">
        <x:v>57</x:v>
      </x:c>
      <x:c r="R25" s="1" t="s">
        <x:v>58</x:v>
      </x:c>
      <x:c r="S25" s="1" t="s">
        <x:v>71</x:v>
      </x:c>
      <x:c r="T25" s="1" t="s">
        <x:v>207</x:v>
      </x:c>
      <x:c r="U25" s="1" t="s">
        <x:v>208</x:v>
      </x:c>
      <x:c r="V25" s="1" t="s">
        <x:v>209</x:v>
      </x:c>
    </x:row>
    <x:row r="26" ht="228.1999969482422" customHeight="1">
      <x:c r="A26" s="11">
        <x:v>46141</x:v>
      </x:c>
      <x:c r="B26" s="1" t="s">
        <x:v>210</x:v>
      </x:c>
      <x:c r="C26" s="10">
        <x:v>29.52</x:v>
      </x:c>
      <x:c r="D26" s="10"/>
      <x:c r="E26" s="7"/>
      <x:c r="F26" s="10" t="str">
        <x:f t="shared" si="2"/>
      </x:c>
      <x:c r="G26" s="10" t="str">
        <x:f t="shared" si="3"/>
      </x:c>
      <x:c r="H26" s="1" t="s">
        <x:v>48</x:v>
      </x:c>
      <x:c r="I26" s="1" t="s">
        <x:v>49</x:v>
      </x:c>
      <x:c r="J26" s="1" t="s">
        <x:v>211</x:v>
      </x:c>
      <x:c r="K26" s="1" t="s">
        <x:v>77</x:v>
      </x:c>
      <x:c r="L26" s="1" t="s">
        <x:v>129</x:v>
      </x:c>
      <x:c r="M26" s="1" t="s">
        <x:v>181</x:v>
      </x:c>
      <x:c r="N26" s="1" t="s">
        <x:v>91</x:v>
      </x:c>
      <x:c r="O26" s="1" t="s">
        <x:v>212</x:v>
      </x:c>
      <x:c r="P26" s="1" t="s">
        <x:v>213</x:v>
      </x:c>
      <x:c r="Q26" s="1" t="s">
        <x:v>57</x:v>
      </x:c>
      <x:c r="R26" s="1" t="s">
        <x:v>58</x:v>
      </x:c>
      <x:c r="S26" s="1" t="s">
        <x:v>71</x:v>
      </x:c>
      <x:c r="T26" s="1" t="s">
        <x:v>214</x:v>
      </x:c>
      <x:c r="U26" s="1" t="s">
        <x:v>215</x:v>
      </x:c>
      <x:c r="V26" s="1" t="s">
        <x:v>216</x:v>
      </x:c>
    </x:row>
    <x:row r="27" ht="187.89999389648438" customHeight="1">
      <x:c r="A27" s="11">
        <x:v>46141</x:v>
      </x:c>
      <x:c r="B27" s="1" t="s">
        <x:v>217</x:v>
      </x:c>
      <x:c r="C27" s="10">
        <x:v>2.85</x:v>
      </x:c>
      <x:c r="D27" s="10"/>
      <x:c r="E27" s="7"/>
      <x:c r="F27" s="10" t="str">
        <x:f t="shared" si="2"/>
      </x:c>
      <x:c r="G27" s="10" t="str">
        <x:f t="shared" si="3"/>
      </x:c>
      <x:c r="H27" s="1" t="s">
        <x:v>48</x:v>
      </x:c>
      <x:c r="I27" s="1" t="s">
        <x:v>49</x:v>
      </x:c>
      <x:c r="J27" s="1" t="s">
        <x:v>101</x:v>
      </x:c>
      <x:c r="K27" s="1" t="s">
        <x:v>218</x:v>
      </x:c>
      <x:c r="L27" s="1" t="s">
        <x:v>219</x:v>
      </x:c>
      <x:c r="M27" s="1"/>
      <x:c r="N27" s="1"/>
      <x:c r="O27" s="1"/>
      <x:c r="P27" s="1"/>
      <x:c r="Q27" s="1" t="s">
        <x:v>57</x:v>
      </x:c>
      <x:c r="R27" s="1" t="s">
        <x:v>70</x:v>
      </x:c>
      <x:c r="S27" s="1" t="s">
        <x:v>94</x:v>
      </x:c>
      <x:c r="T27" s="1" t="s">
        <x:v>220</x:v>
      </x:c>
      <x:c r="U27" s="1" t="s">
        <x:v>221</x:v>
      </x:c>
      <x:c r="V27" s="1" t="s">
        <x:v>222</x:v>
      </x:c>
    </x:row>
    <x:row r="28" ht="210">
      <x:c r="A28" s="11">
        <x:v>46141</x:v>
      </x:c>
      <x:c r="B28" s="1" t="s">
        <x:v>223</x:v>
      </x:c>
      <x:c r="C28" s="10">
        <x:v>54.9</x:v>
      </x:c>
      <x:c r="D28" s="10">
        <x:v>54.9</x:v>
      </x:c>
      <x:c r="E28" s="7">
        <x:v>50</x:v>
      </x:c>
      <x:c r="F28" s="10">
        <x:f t="shared" si="2"/>
        <x:v>2745</x:v>
      </x:c>
      <x:c r="G28" s="10">
        <x:f t="shared" si="3"/>
        <x:v>0</x:v>
      </x:c>
      <x:c r="H28" s="1" t="s">
        <x:v>127</x:v>
      </x:c>
      <x:c r="I28" s="1" t="s">
        <x:v>49</x:v>
      </x:c>
      <x:c r="J28" s="1" t="s">
        <x:v>224</x:v>
      </x:c>
      <x:c r="K28" s="1" t="s">
        <x:v>65</x:v>
      </x:c>
      <x:c r="L28" s="1" t="s">
        <x:v>129</x:v>
      </x:c>
      <x:c r="M28" s="1" t="s">
        <x:v>172</x:v>
      </x:c>
      <x:c r="N28" s="1" t="s">
        <x:v>91</x:v>
      </x:c>
      <x:c r="O28" s="1" t="s">
        <x:v>225</x:v>
      </x:c>
      <x:c r="P28" s="1" t="s">
        <x:v>226</x:v>
      </x:c>
      <x:c r="Q28" s="1" t="s">
        <x:v>57</x:v>
      </x:c>
      <x:c r="R28" s="1" t="s">
        <x:v>58</x:v>
      </x:c>
      <x:c r="S28" s="1" t="s">
        <x:v>82</x:v>
      </x:c>
      <x:c r="T28" s="1" t="s">
        <x:v>227</x:v>
      </x:c>
      <x:c r="U28" s="1" t="s">
        <x:v>228</x:v>
      </x:c>
      <x:c r="V28" s="1" t="s">
        <x:v>229</x:v>
      </x:c>
    </x:row>
    <x:row r="29" ht="214.89999389648438" customHeight="1">
      <x:c r="A29" s="11">
        <x:v>46141</x:v>
      </x:c>
      <x:c r="B29" s="1" t="s">
        <x:v>230</x:v>
      </x:c>
      <x:c r="C29" s="10">
        <x:v>153.36000000000001</x:v>
      </x:c>
      <x:c r="D29" s="10"/>
      <x:c r="E29" s="7"/>
      <x:c r="F29" s="10" t="str">
        <x:f t="shared" si="2"/>
      </x:c>
      <x:c r="G29" s="10" t="str">
        <x:f t="shared" si="3"/>
      </x:c>
      <x:c r="H29" s="1" t="s">
        <x:v>48</x:v>
      </x:c>
      <x:c r="I29" s="1" t="s">
        <x:v>49</x:v>
      </x:c>
      <x:c r="J29" s="1" t="s">
        <x:v>163</x:v>
      </x:c>
      <x:c r="K29" s="1" t="s">
        <x:v>65</x:v>
      </x:c>
      <x:c r="L29" s="1" t="s">
        <x:v>89</x:v>
      </x:c>
      <x:c r="M29" s="1" t="s">
        <x:v>139</x:v>
      </x:c>
      <x:c r="N29" s="1" t="s">
        <x:v>91</x:v>
      </x:c>
      <x:c r="O29" s="1" t="s">
        <x:v>231</x:v>
      </x:c>
      <x:c r="P29" s="1" t="s">
        <x:v>232</x:v>
      </x:c>
      <x:c r="Q29" s="1" t="s">
        <x:v>57</x:v>
      </x:c>
      <x:c r="R29" s="1" t="s">
        <x:v>58</x:v>
      </x:c>
      <x:c r="S29" s="1" t="s">
        <x:v>94</x:v>
      </x:c>
      <x:c r="T29" s="1" t="s">
        <x:v>233</x:v>
      </x:c>
      <x:c r="U29" s="1" t="s">
        <x:v>234</x:v>
      </x:c>
      <x:c r="V29" s="1" t="s">
        <x:v>235</x:v>
      </x:c>
    </x:row>
    <x:row r="30" ht="174.60000610351562" customHeight="1">
      <x:c r="A30" s="12">
        <x:v>46141</x:v>
      </x:c>
      <x:c r="B30" s="1" t="s">
        <x:v>236</x:v>
      </x:c>
      <x:c r="C30" s="10">
        <x:v>682.51</x:v>
      </x:c>
      <x:c r="D30" s="10"/>
      <x:c r="E30" s="7"/>
      <x:c r="F30" s="10" t="str">
        <x:f t="shared" ref="F30:F35" si="4">IF(OR(D30="",E30=""),"",D30*E30)</x:f>
      </x:c>
      <x:c r="G30" s="10" t="str">
        <x:f t="shared" ref="G30:G35" si="5">IF(OR(C30="",D30="",E30=""),"",C30*E30-F30)</x:f>
      </x:c>
      <x:c r="H30" s="1" t="s">
        <x:v>48</x:v>
      </x:c>
      <x:c r="I30" s="1" t="s">
        <x:v>49</x:v>
      </x:c>
      <x:c r="J30" s="1" t="s">
        <x:v>118</x:v>
      </x:c>
      <x:c r="K30" s="1" t="s">
        <x:v>180</x:v>
      </x:c>
      <x:c r="L30" s="1" t="s">
        <x:v>237</x:v>
      </x:c>
      <x:c r="M30" s="1"/>
      <x:c r="N30" s="1"/>
      <x:c r="O30" s="1"/>
      <x:c r="P30" s="1"/>
      <x:c r="Q30" s="1" t="s">
        <x:v>57</x:v>
      </x:c>
      <x:c r="R30" s="1" t="s">
        <x:v>70</x:v>
      </x:c>
      <x:c r="S30" s="1" t="s">
        <x:v>94</x:v>
      </x:c>
      <x:c r="T30" s="1" t="s">
        <x:v>238</x:v>
      </x:c>
      <x:c r="U30" s="1" t="s">
        <x:v>239</x:v>
      </x:c>
      <x:c r="V30" s="1" t="s">
        <x:v>240</x:v>
      </x:c>
    </x:row>
    <x:row r="31" ht="214.89999389648438" customHeight="1">
      <x:c r="A31" s="12">
        <x:v>46141</x:v>
      </x:c>
      <x:c r="B31" s="1" t="s">
        <x:v>241</x:v>
      </x:c>
      <x:c r="C31" s="10">
        <x:v>260.14</x:v>
      </x:c>
      <x:c r="D31" s="10"/>
      <x:c r="E31" s="7"/>
      <x:c r="F31" s="10" t="str">
        <x:f t="shared" si="4"/>
      </x:c>
      <x:c r="G31" s="10" t="str">
        <x:f t="shared" si="5"/>
      </x:c>
      <x:c r="H31" s="1" t="s">
        <x:v>48</x:v>
      </x:c>
      <x:c r="I31" s="1" t="s">
        <x:v>49</x:v>
      </x:c>
      <x:c r="J31" s="1" t="s">
        <x:v>146</x:v>
      </x:c>
      <x:c r="K31" s="1" t="s">
        <x:v>65</x:v>
      </x:c>
      <x:c r="L31" s="1" t="s">
        <x:v>129</x:v>
      </x:c>
      <x:c r="M31" s="1" t="s">
        <x:v>242</x:v>
      </x:c>
      <x:c r="N31" s="1" t="s">
        <x:v>91</x:v>
      </x:c>
      <x:c r="O31" s="1" t="s">
        <x:v>243</x:v>
      </x:c>
      <x:c r="P31" s="1" t="s">
        <x:v>244</x:v>
      </x:c>
      <x:c r="Q31" s="1" t="s">
        <x:v>57</x:v>
      </x:c>
      <x:c r="R31" s="1" t="s">
        <x:v>58</x:v>
      </x:c>
      <x:c r="S31" s="1" t="s">
        <x:v>71</x:v>
      </x:c>
      <x:c r="T31" s="1" t="s">
        <x:v>245</x:v>
      </x:c>
      <x:c r="U31" s="1" t="s">
        <x:v>246</x:v>
      </x:c>
      <x:c r="V31" s="1" t="s">
        <x:v>247</x:v>
      </x:c>
    </x:row>
    <x:row r="32" ht="214.89999389648438" customHeight="1">
      <x:c r="A32" s="13">
        <x:v>46141</x:v>
      </x:c>
      <x:c r="B32" s="1" t="s">
        <x:v>248</x:v>
      </x:c>
      <x:c r="C32" s="10">
        <x:v>32.56</x:v>
      </x:c>
      <x:c r="D32" s="10"/>
      <x:c r="E32" s="7"/>
      <x:c r="F32" s="10" t="str">
        <x:f t="shared" si="4"/>
      </x:c>
      <x:c r="G32" s="10" t="str">
        <x:f t="shared" si="5"/>
      </x:c>
      <x:c r="H32" s="1" t="s">
        <x:v>48</x:v>
      </x:c>
      <x:c r="I32" s="1" t="s">
        <x:v>49</x:v>
      </x:c>
      <x:c r="J32" s="1" t="s">
        <x:v>128</x:v>
      </x:c>
      <x:c r="K32" s="1" t="s">
        <x:v>51</x:v>
      </x:c>
      <x:c r="L32" s="1" t="s">
        <x:v>249</x:v>
      </x:c>
      <x:c r="M32" s="1" t="s">
        <x:v>101</x:v>
      </x:c>
      <x:c r="N32" s="1" t="s">
        <x:v>91</x:v>
      </x:c>
      <x:c r="O32" s="1" t="s">
        <x:v>250</x:v>
      </x:c>
      <x:c r="P32" s="1" t="s">
        <x:v>251</x:v>
      </x:c>
      <x:c r="Q32" s="1" t="s">
        <x:v>57</x:v>
      </x:c>
      <x:c r="R32" s="1" t="s">
        <x:v>58</x:v>
      </x:c>
      <x:c r="S32" s="1" t="s">
        <x:v>71</x:v>
      </x:c>
      <x:c r="T32" s="1" t="s">
        <x:v>252</x:v>
      </x:c>
      <x:c r="U32" s="1" t="s">
        <x:v>253</x:v>
      </x:c>
      <x:c r="V32" s="1" t="s">
        <x:v>254</x:v>
      </x:c>
    </x:row>
    <x:row r="33" ht="201.39999389648438" customHeight="1">
      <x:c r="A33" s="13">
        <x:v>46141</x:v>
      </x:c>
      <x:c r="B33" s="1" t="s">
        <x:v>255</x:v>
      </x:c>
      <x:c r="C33" s="10">
        <x:v>60.34</x:v>
      </x:c>
      <x:c r="D33" s="10"/>
      <x:c r="E33" s="7"/>
      <x:c r="F33" s="10" t="str">
        <x:f t="shared" si="4"/>
      </x:c>
      <x:c r="G33" s="10" t="str">
        <x:f t="shared" si="5"/>
      </x:c>
      <x:c r="H33" s="1" t="s">
        <x:v>48</x:v>
      </x:c>
      <x:c r="I33" s="1" t="s">
        <x:v>49</x:v>
      </x:c>
      <x:c r="J33" s="1" t="s">
        <x:v>256</x:v>
      </x:c>
      <x:c r="K33" s="1" t="s">
        <x:v>65</x:v>
      </x:c>
      <x:c r="L33" s="1" t="s">
        <x:v>129</x:v>
      </x:c>
      <x:c r="M33" s="1" t="s">
        <x:v>257</x:v>
      </x:c>
      <x:c r="N33" s="1" t="s">
        <x:v>91</x:v>
      </x:c>
      <x:c r="O33" s="1" t="s">
        <x:v>258</x:v>
      </x:c>
      <x:c r="P33" s="1" t="s">
        <x:v>259</x:v>
      </x:c>
      <x:c r="Q33" s="1" t="s">
        <x:v>57</x:v>
      </x:c>
      <x:c r="R33" s="1" t="s">
        <x:v>58</x:v>
      </x:c>
      <x:c r="S33" s="1" t="s">
        <x:v>71</x:v>
      </x:c>
      <x:c r="T33" s="1" t="s">
        <x:v>260</x:v>
      </x:c>
      <x:c r="U33" s="1" t="s">
        <x:v>261</x:v>
      </x:c>
      <x:c r="V33" s="1" t="s">
        <x:v>262</x:v>
      </x:c>
    </x:row>
    <x:row r="34" ht="268.5" customHeight="1">
      <x:c r="A34" s="13">
        <x:v>46142</x:v>
      </x:c>
      <x:c r="B34" s="1" t="s">
        <x:v>263</x:v>
      </x:c>
      <x:c r="C34" s="10">
        <x:v>329.74</x:v>
      </x:c>
      <x:c r="D34" s="10"/>
      <x:c r="E34" s="7"/>
      <x:c r="F34" s="10" t="str">
        <x:f t="shared" si="4"/>
      </x:c>
      <x:c r="G34" s="10" t="str">
        <x:f t="shared" si="5"/>
      </x:c>
      <x:c r="H34" s="1" t="s">
        <x:v>48</x:v>
      </x:c>
      <x:c r="I34" s="1" t="s">
        <x:v>49</x:v>
      </x:c>
      <x:c r="J34" s="1" t="s">
        <x:v>264</x:v>
      </x:c>
      <x:c r="K34" s="1" t="s">
        <x:v>180</x:v>
      </x:c>
      <x:c r="L34" s="1" t="s">
        <x:v>265</x:v>
      </x:c>
      <x:c r="M34" s="1" t="s">
        <x:v>266</x:v>
      </x:c>
      <x:c r="N34" s="1" t="s">
        <x:v>91</x:v>
      </x:c>
      <x:c r="O34" s="1" t="s">
        <x:v>267</x:v>
      </x:c>
      <x:c r="P34" s="1" t="s">
        <x:v>268</x:v>
      </x:c>
      <x:c r="Q34" s="1" t="s">
        <x:v>57</x:v>
      </x:c>
      <x:c r="R34" s="1" t="s">
        <x:v>70</x:v>
      </x:c>
      <x:c r="S34" s="1" t="s">
        <x:v>71</x:v>
      </x:c>
      <x:c r="T34" s="1" t="s">
        <x:v>269</x:v>
      </x:c>
      <x:c r="U34" s="1" t="s">
        <x:v>270</x:v>
      </x:c>
      <x:c r="V34" s="1" t="s">
        <x:v>271</x:v>
      </x:c>
    </x:row>
    <x:row r="35" ht="241.6999969482422" customHeight="1">
      <x:c r="A35" s="13">
        <x:v>46142</x:v>
      </x:c>
      <x:c r="B35" s="1" t="s">
        <x:v>272</x:v>
      </x:c>
      <x:c r="C35" s="10">
        <x:v>11.23</x:v>
      </x:c>
      <x:c r="D35" s="10"/>
      <x:c r="E35" s="7"/>
      <x:c r="F35" s="10" t="str">
        <x:f t="shared" si="4"/>
      </x:c>
      <x:c r="G35" s="10" t="str">
        <x:f t="shared" si="5"/>
      </x:c>
      <x:c r="H35" s="1" t="s">
        <x:v>273</x:v>
      </x:c>
      <x:c r="I35" s="1" t="s">
        <x:v>49</x:v>
      </x:c>
      <x:c r="J35" s="1" t="s">
        <x:v>108</x:v>
      </x:c>
      <x:c r="K35" s="1" t="s">
        <x:v>109</x:v>
      </x:c>
      <x:c r="L35" s="1" t="s">
        <x:v>129</x:v>
      </x:c>
      <x:c r="M35" s="1" t="s">
        <x:v>266</x:v>
      </x:c>
      <x:c r="N35" s="1" t="s">
        <x:v>91</x:v>
      </x:c>
      <x:c r="O35" s="1" t="s">
        <x:v>274</x:v>
      </x:c>
      <x:c r="P35" s="1" t="s">
        <x:v>275</x:v>
      </x:c>
      <x:c r="Q35" s="1" t="s">
        <x:v>57</x:v>
      </x:c>
      <x:c r="R35" s="1" t="s">
        <x:v>58</x:v>
      </x:c>
      <x:c r="S35" s="1" t="s">
        <x:v>71</x:v>
      </x:c>
      <x:c r="T35" s="1" t="s">
        <x:v>276</x:v>
      </x:c>
      <x:c r="U35" s="1" t="s">
        <x:v>277</x:v>
      </x:c>
      <x:c r="V35" s="1" t="s">
        <x:v>278</x:v>
      </x:c>
    </x:row>
    <x:row r="36" ht="201.416015625" hidden="0" customHeight="1">
      <x:c r="A36" s="23" t="n">
        <x:v>46142</x:v>
      </x:c>
      <x:c r="B36" s="1" t="str">
        <x:v>NXPI</x:v>
      </x:c>
      <x:c r="C36" s="10" t="n">
        <x:v>242.7</x:v>
      </x:c>
      <x:c r="D36" s="10"/>
      <x:c r="E36" s="7"/>
      <x:c r="F36" s="10" t="str">
        <x:f>IF(OR(D36="",E36=""),"",D36*E36)</x:f>
      </x:c>
      <x:c r="G36" s="10" t="str">
        <x:f>IF(OR(C36="",D36="",E36=""),"",C36*E36-F36)</x:f>
      </x:c>
      <x:c r="H36" s="1" t="str">
        <x:v>USD</x:v>
      </x:c>
      <x:c r="I36" s="1" t="str">
        <x:v>STRONG BULL</x:v>
      </x:c>
      <x:c r="J36" s="1" t="str">
        <x:v>82/100</x:v>
      </x:c>
      <x:c r="K36" s="1" t="str">
        <x:v>23/25</x:v>
      </x:c>
      <x:c r="L36" s="1" t="str">
        <x:v>1 of 3</x:v>
      </x:c>
      <x:c r="M36" s="1" t="str">
        <x:v>52/100</x:v>
      </x:c>
      <x:c r="N36" s="1" t="str">
        <x:v>STABLE</x:v>
      </x:c>
      <x:c r="O36" s="1" t="str">
        <x:v>Inv &lt;244.04 close / T1 283.89 / T2 300.00</x:v>
      </x:c>
      <x:c r="P36" s="1" t="str">
        <x:v>Inv &lt;208.44 EUR close / T1 242.51 EUR / T2 256.31 EUR</x:v>
      </x:c>
      <x:c r="Q36" s="1" t="str">
        <x:v>Complete</x:v>
      </x:c>
      <x:c r="R36" s="1" t="str">
        <x:v>ADVANCE</x:v>
      </x:c>
      <x:c r="S36" s="1" t="str">
        <x:v>Reduced share position</x:v>
      </x:c>
      <x:c r="T36" s="1" t="str">
        <x:v>The main risk is that NXPI has already repriced sharply after earnings: the stock jumped into the high 280s after the Apr. 28 beat-and-raise, so expectations are now much higher for the auto and industrial recovery, leaving less room for any second-half demand wobble or customer inventory rebalancing.</x:v>
      </x:c>
      <x:c r="U36" s="1" t="str">
        <x:v>NXP just delivered one of the cleaner cyclical turns in semis: Q1 2026 revenue rose 12% to $3.18B, non-GAAP EPS reached $3.05, non-GAAP free cash flow hit $714M, the company retired debt, kept buying back stock, and guided Q2 revenue to about $3.45B at the midpoint with broad-based improvement across end markets.</x:v>
      </x:c>
      <x:c r="V36" s="1" t="str">
        <x:v>Prompt 1 uses the current weekly regime call dated 2026-04-30. Prompt 2 verified against NXP's Apr. 28, 2026 Q1 2026 results release and investor materials; delayed valuation pages from StockAnalysis supplied market metrics. Prompt 3 compared NXPI against TXN and ADI using delayed valuation pages and current market context; NXP ranked best because it combined stronger near-term growth and a cheaper forward multiple than the analog peers while maintaining strong margins and buyback support. Prompt 4 used the post-earnings gap, cash generation, debt paydown, and cyclical recovery context; no accelerating decay signal was found. Prompt 5 used the Apr. 24, 2026 delayed close of $244.04 from MarketWatch and today's Barron's-reported post-earnings price of $283.89, plus the ECB Apr. 29, 2026 USD/EUR reference rate of 1.1706. Portfolio quote used: NXPI delayed post-earnings price on 2026-04-30 ($284.12), converted to EUR using ECB USD/EUR 2026-04-29 (1.1706).</x:v>
      </x:c>
    </x:row>
    <x:row r="37" ht="214.84375" hidden="0" customHeight="1">
      <x:c r="A37" s="23" t="n">
        <x:v>46142</x:v>
      </x:c>
      <x:c r="B37" s="1" t="str">
        <x:v>AAOI</x:v>
      </x:c>
      <x:c r="C37" s="10" t="n">
        <x:v>130.56</x:v>
      </x:c>
      <x:c r="D37" s="10"/>
      <x:c r="E37" s="7"/>
      <x:c r="F37" s="10" t="str">
        <x:f>IF(OR(D37="",E37=""),"",D37*E37)</x:f>
      </x:c>
      <x:c r="G37" s="10" t="str">
        <x:f>IF(OR(C37="",D37="",E37=""),"",C37*E37-F37)</x:f>
      </x:c>
      <x:c r="H37" s="1" t="str">
        <x:v>USD</x:v>
      </x:c>
      <x:c r="I37" s="1" t="str">
        <x:v>STRONG BULL</x:v>
      </x:c>
      <x:c r="J37" s="1" t="str">
        <x:v>75/100</x:v>
      </x:c>
      <x:c r="K37" s="1" t="str">
        <x:v>18/25</x:v>
      </x:c>
      <x:c r="L37" s="1" t="str">
        <x:v>2 of 3 (lost to COHR)</x:v>
      </x:c>
      <x:c r="M37" s="1" t="str">
        <x:v>62/100</x:v>
      </x:c>
      <x:c r="N37" s="1" t="str">
        <x:v>STABLE</x:v>
      </x:c>
      <x:c r="O37" s="1" t="str">
        <x:v>Inv &lt;129.90 close / T1 146.39 / T2 155.40</x:v>
      </x:c>
      <x:c r="P37" s="1" t="str">
        <x:v>Inv &lt;110.27 EUR close / T1 124.27 EUR / T2 131.91 EUR</x:v>
      </x:c>
      <x:c r="Q37" s="1" t="str">
        <x:v>Complete</x:v>
      </x:c>
      <x:c r="R37" s="1" t="str">
        <x:v>ADVANCE</x:v>
      </x:c>
      <x:c r="S37" s="1" t="str">
        <x:v>Reduced share position</x:v>
      </x:c>
      <x:c r="T37" s="1" t="str">
        <x:v>The main risk is that AAOI is now a crowded expectations stock: the latest accessible delayed snapshot showed about 169x forward earnings, analyst average target deep below the share price, shares outstanding up 44.9% year over year, and short interest still elevated at 12.78% of float even after some covering. With Q1 2026 results due on May 7, the setup leaves little margin for any production or customer-concentration wobble.</x:v>
      </x:c>
      <x:c r="U37" s="1" t="str">
        <x:v>Applied Optoelectronics still has exceptional momentum: full-year 2025 revenue jumped 82.8% to $455.7M, Q4 revenue reached a record $134.3M, gross margin improved to 30.0%, and Q1 2026 guidance of $150M-$165M pointed to another strong step-up as AI datacenter demand and 800G ramps continue.</x:v>
      </x:c>
      <x:c r="V37" s="1" t="str">
        <x:v>Prompt 1 uses the current weekly regime call dated 2026-04-30. Prompt 2 verified against Applied Optoelectronics' Feb. 26, 2026 Q4 and full-year 2025 results release and the Apr. 16, 2026 Q1 2026 earnings-date announcement; delayed valuation pages from StockAnalysis supplied market metrics, and MarketBeat supplied short-interest context. Prompt 3 compared AAOI against COHR and LITE using official peer releases and delayed valuation pages; AAOI ranked second behind COHR because its growth was stronger but its valuation and dilution were materially worse, while it still beat LITE on upside and growth-adjusted setup. Prompt 4 used AAOI's forward guidance, dilution, short interest, and the near-term May 7 earnings event; the decay signal worsened but remained STABLE rather than ACCELERATING. Prompt 5 used the delayed Apr. 29, 2026 close of $152.83 and visible 52-week levels from current delayed quote pages. Portfolio quote used: AAOI NASDAQ delayed close on 2026-04-29 ($152.83), converted to EUR with ECB USD/EUR 2026-04-29 (1.1706).</x:v>
      </x:c>
    </x:row>
    <x:row r="38" ht="241.69921875" hidden="0" customHeight="1">
      <x:c r="A38" s="23" t="n">
        <x:v>46142</x:v>
      </x:c>
      <x:c r="B38" s="1" t="str">
        <x:v>IONQ</x:v>
      </x:c>
      <x:c r="C38" s="10" t="n">
        <x:v>36.84</x:v>
      </x:c>
      <x:c r="D38" s="10"/>
      <x:c r="E38" s="7"/>
      <x:c r="F38" s="10" t="str">
        <x:f>IF(OR(D38="",E38=""),"",D38*E38)</x:f>
      </x:c>
      <x:c r="G38" s="10" t="str">
        <x:f>IF(OR(C38="",D38="",E38=""),"",C38*E38-F38)</x:f>
      </x:c>
      <x:c r="H38" s="1" t="str">
        <x:v>USD</x:v>
      </x:c>
      <x:c r="I38" s="1" t="str">
        <x:v>STRONG BULL</x:v>
      </x:c>
      <x:c r="J38" s="1" t="str">
        <x:v>71/100</x:v>
      </x:c>
      <x:c r="K38" s="1" t="str">
        <x:v>20/25</x:v>
      </x:c>
      <x:c r="L38" s="1" t="str">
        <x:v>1 of 3</x:v>
      </x:c>
      <x:c r="M38" s="1" t="str">
        <x:v>60/100</x:v>
      </x:c>
      <x:c r="N38" s="1" t="str">
        <x:v>STABLE</x:v>
      </x:c>
      <x:c r="O38" s="1" t="str">
        <x:v>Inv &lt;39.77 close / T1 43.13 / T2 67.67</x:v>
      </x:c>
      <x:c r="P38" s="1" t="str">
        <x:v>Inv &lt;33.97 EUR close / T1 36.84 EUR / T2 57.81 EUR</x:v>
      </x:c>
      <x:c r="Q38" s="1" t="str">
        <x:v>Complete</x:v>
      </x:c>
      <x:c r="R38" s="1" t="str">
        <x:v>ADVANCE</x:v>
      </x:c>
      <x:c r="S38" s="1" t="str">
        <x:v>Reduced share position</x:v>
      </x:c>
      <x:c r="T38" s="1" t="str">
        <x:v>The main risk is that IonQ remains a richly valued, loss-making concept stock: the latest accessible delayed snapshot still implied roughly 96x sales, shares outstanding were up 31.6% year over year, free cash burn is set to remain very large in 2026, and the stock still needs acquisitions, partnerships, and roadmap milestones to convert into durable revenue faster than dilution compounds.</x:v>
      </x:c>
      <x:c r="U38" s="1" t="str">
        <x:v>IonQ still has one of the strongest strategic setups in quantum: Q4 2025 revenue rose 428% to $61.9M, 2026 revenue guidance of $225M-$245M was well above prior expectations, more than 60% of 2025 revenue came from commercial customers, and the company is targeting a 256-qubit system milestone by Q4 2026 while expanding across computing, networking, sensing, and security.</x:v>
      </x:c>
      <x:c r="V38" s="1" t="str">
        <x:v>Prompt 1 uses the current weekly regime call dated 2026-04-30. Prompt 2 verified against IonQ's Feb. 25, 2026 Q4 and full-year 2025 results release and company investor-relations materials; delayed valuation pages from StockAnalysis and MarketBeat supplied market metrics. Prompt 3 compared IONQ against QBTS and RGTI using official peer earnings releases and delayed valuation pages; IonQ ranked best because it combined the strongest revenue scale, commercial traction, and analyst-upside profile, while both peers remained materially smaller and more speculative despite cheaper or similar headline metrics. Prompt 4 used IonQ's 2026 guidance, dilution, continuing losses, acquisition-driven risk, and the upcoming May 6, 2026 earnings date; the decay signal worsened but remained STABLE rather than ACCELERATING. Prompt 5 used the Apr. 28, 2026 delayed close of $43.13 from MarketBeat and the Apr. 29, 2026 intraday low of $39.77 reported by MarketBeat's market roundup page, plus the ECB Apr. 29, 2026 USD/EUR reference rate of 1.1706. Portfolio quote used: IONQ NYSE delayed close on 2026-04-28 ($43.13), converted to EUR with ECB USD/EUR 2026-04-29 (1.1706).</x:v>
      </x:c>
    </x:row>
    <x:row r="39" ht="147.705078125" hidden="0" customHeight="1">
      <x:c r="A39" s="23" t="n">
        <x:v>46142</x:v>
      </x:c>
      <x:c r="B39" s="1" t="str">
        <x:v>RGTI</x:v>
      </x:c>
      <x:c r="C39" s="10"/>
      <x:c r="D39" s="10"/>
      <x:c r="E39" s="7"/>
      <x:c r="F39" s="10" t="str">
        <x:f>IF(OR(D39="",E39=""),"",D39*E39)</x:f>
      </x:c>
      <x:c r="G39" s="10" t="str">
        <x:f>IF(OR(C39="",D39="",E39=""),"",C39*E39-F39)</x:f>
      </x:c>
      <x:c r="H39" s="1" t="str">
        <x:v>USD</x:v>
      </x:c>
      <x:c r="I39" s="1" t="str">
        <x:v>STRONG BULL</x:v>
      </x:c>
      <x:c r="J39" s="1" t="str">
        <x:v>63/100</x:v>
      </x:c>
      <x:c r="K39" s="1" t="str">
        <x:v>18/25</x:v>
      </x:c>
      <x:c r="L39" s="1" t="str">
        <x:v>3 of 3 (lost to IONQ, QBTS)</x:v>
      </x:c>
      <x:c r="M39" s="1" t="str"/>
      <x:c r="N39" s="1" t="str"/>
      <x:c r="O39" s="1" t="str"/>
      <x:c r="P39" s="1" t="str"/>
      <x:c r="Q39" s="1" t="str">
        <x:v>Complete</x:v>
      </x:c>
      <x:c r="R39" s="1" t="str">
        <x:v>PASS</x:v>
      </x:c>
      <x:c r="S39" s="1" t="str">
        <x:v>Watch only</x:v>
      </x:c>
      <x:c r="T39" s="1" t="str">
        <x:v>The main risk is that Rigetti remains the weakest-funded operating story in the public quantum group despite the stock's earlier rerating: full-year 2025 revenue fell to $7.1M, annual GAAP net loss was $216.2M, cash burn remained heavy, shares outstanding increased 67.7% year over year, and the business still depends on sparse hardware orders landing on time.</x:v>
      </x:c>
      <x:c r="U39" s="1" t="str">
        <x:v>Rigetti does have meaningful technical and strategic progress: it ended 2025 with $589.8M of cash and investments, recently secured an $8.4M C-DAC order for a 108-qubit on-premises system, continued delivery momentum for Novera systems, and reported strong fidelity milestones including 99.9% two-qubit gate fidelity on a prototype platform.</x:v>
      </x:c>
      <x:c r="V39" s="1" t="str">
        <x:v>Prompt 1 uses the current weekly regime call dated 2026-04-30. Prompt 2 verified against Rigetti's Mar. 4, 2026 Q4 and full-year 2025 results release and investor-relations materials. Prompt 3 compared RGTI against IONQ and QBTS using official peer releases and delayed valuation pages; Rigetti ranked worst because it has the smallest revenue base, the weakest quality of current commercial traction, and still depends on a future revenue ramp to justify a very large market cap. Under the chain rules, Prompt 3 ranked-worst on valuation/quality is a hard kill. Current Price (EUR) was left blank because I could not verify a quote within 1 trading day from accessible sources under the current workbook rule.</x:v>
      </x:c>
    </x:row>
    <x:row r="40" ht="228.271484375" hidden="0" customHeight="1">
      <x:c r="A40" s="23" t="n">
        <x:v>46142</x:v>
      </x:c>
      <x:c r="B40" s="1" t="str">
        <x:v>QBTS</x:v>
      </x:c>
      <x:c r="C40" s="10"/>
      <x:c r="D40" s="10"/>
      <x:c r="E40" s="7"/>
      <x:c r="F40" s="10" t="str">
        <x:f>IF(OR(D40="",E40=""),"",D40*E40)</x:f>
      </x:c>
      <x:c r="G40" s="10" t="str">
        <x:f>IF(OR(C40="",D40="",E40=""),"",C40*E40-F40)</x:f>
      </x:c>
      <x:c r="H40" s="1" t="str">
        <x:v>USD</x:v>
      </x:c>
      <x:c r="I40" s="1" t="str">
        <x:v>STRONG BULL</x:v>
      </x:c>
      <x:c r="J40" s="1" t="str">
        <x:v>67/100</x:v>
      </x:c>
      <x:c r="K40" s="1" t="str">
        <x:v>19/25</x:v>
      </x:c>
      <x:c r="L40" s="1" t="str">
        <x:v>2 of 3 (lost to IONQ)</x:v>
      </x:c>
      <x:c r="M40" s="1" t="str">
        <x:v>61/100</x:v>
      </x:c>
      <x:c r="N40" s="1" t="str">
        <x:v>STABLE</x:v>
      </x:c>
      <x:c r="O40" s="1" t="str">
        <x:v>Inv &lt;16.97 close / T1 20.78 / T2 36.50</x:v>
      </x:c>
      <x:c r="P40" s="1" t="str">
        <x:v>Inv &lt;14.49 EUR close / T1 17.75 EUR / T2 31.18 EUR</x:v>
      </x:c>
      <x:c r="Q40" s="1" t="str">
        <x:v>Complete</x:v>
      </x:c>
      <x:c r="R40" s="1" t="str">
        <x:v>ADVANCE</x:v>
      </x:c>
      <x:c r="S40" s="1" t="str">
        <x:v>Reduced share position</x:v>
      </x:c>
      <x:c r="T40" s="1" t="str">
        <x:v>The main risk is that D-Wave remains a very speculative, loss-making small-cap even after strong publicity and bookings momentum: FY2025 revenue was only $24.6M, annual net loss was $355.1M, shares outstanding were up 67.2% year over year, and the stock's valuation still depends on a path to commercialization that is far from proven.</x:v>
      </x:c>
      <x:c r="U40" s="1" t="str">
        <x:v>D-Wave still has meaningful commercial momentum: FY2025 revenue increased 179% year over year, gross profit rose 265%, liquidity ended 2025 above $884M, the company booked over $30M in January 2026 alone, and management positioned 2026 as a potentially defining year after expanding into gate-model quantum through the Quantum Circuits acquisition.</x:v>
      </x:c>
      <x:c r="V40" s="1" t="str">
        <x:v>Prompt 1 uses the current weekly regime call dated 2026-04-30. Prompt 2 verified against D-Wave's Feb. 26, 2026 Q4 and full-year 2025 results release and the Apr. 23, 2026 Q1 2026 earnings-date announcement; delayed valuation pages from StockAnalysis and MarketBeat supplied market metrics. Prompt 3 compared QBTS against IONQ and RGTI using official peer releases and delayed valuation pages; QBTS ranked second behind IONQ because it has much stronger current momentum and liquidity than Rigetti, but still lags IonQ on revenue scale, commercial traction, and overall quality. Prompt 4 used D-Wave's liquidity, dilution, net losses, acquisitions, and the upcoming May 12, 2026 earnings event; the decay signal worsened but remained STABLE rather than ACCELERATING. Prompt 5 used the delayed Apr. 15, 2026 close of $16.97 from MarketBeat chart history and MarketBeat's delayed analyst target of $36.50. Current Price (EUR) was left blank because I could not verify a quote within 1 trading day from accessible sources under the current workbook rule.</x:v>
      </x:c>
    </x:row>
    <x:row r="41" ht="15" customHeight="1">
      <x:c r="A41" s="5"/>
      <x:c r="B41" s="1"/>
      <x:c r="C41" s="6"/>
      <x:c r="D41" s="6"/>
      <x:c r="E41" s="7"/>
      <x:c r="F41" s="6"/>
      <x:c r="G41" s="6"/>
      <x:c r="H41" s="1"/>
      <x:c r="I41" s="1"/>
      <x:c r="J41" s="1"/>
      <x:c r="K41" s="1"/>
      <x:c r="L41" s="1"/>
      <x:c r="M41" s="1"/>
      <x:c r="N41" s="1"/>
      <x:c r="O41" s="1"/>
      <x:c r="P41" s="1"/>
      <x:c r="Q41" s="1"/>
      <x:c r="R41" s="1"/>
      <x:c r="S41" s="1"/>
      <x:c r="T41" s="1"/>
      <x:c r="U41" s="1"/>
      <x:c r="V41" s="1"/>
    </x:row>
    <x:row r="42" ht="15" customHeight="1">
      <x:c r="A42" s="5"/>
      <x:c r="B42" s="1"/>
      <x:c r="C42" s="6"/>
      <x:c r="D42" s="6"/>
      <x:c r="E42" s="7"/>
      <x:c r="F42" s="6"/>
      <x:c r="G42" s="6"/>
      <x:c r="H42" s="1"/>
      <x:c r="I42" s="1"/>
      <x:c r="J42" s="1"/>
      <x:c r="K42" s="1"/>
      <x:c r="L42" s="1"/>
      <x:c r="M42" s="1"/>
      <x:c r="N42" s="1"/>
      <x:c r="O42" s="1"/>
      <x:c r="P42" s="1"/>
      <x:c r="Q42" s="1"/>
      <x:c r="R42" s="1"/>
      <x:c r="S42" s="1"/>
      <x:c r="T42" s="1"/>
      <x:c r="U42" s="1"/>
      <x:c r="V42" s="1"/>
    </x:row>
    <x:row r="43" ht="15" customHeight="1">
      <x:c r="A43" s="5"/>
      <x:c r="B43" s="1"/>
      <x:c r="C43" s="6"/>
      <x:c r="D43" s="6"/>
      <x:c r="E43" s="7"/>
      <x:c r="F43" s="6"/>
      <x:c r="G43" s="6"/>
      <x:c r="H43" s="1"/>
      <x:c r="I43" s="1"/>
      <x:c r="J43" s="1"/>
      <x:c r="K43" s="1"/>
      <x:c r="L43" s="1"/>
      <x:c r="M43" s="1"/>
      <x:c r="N43" s="1"/>
      <x:c r="O43" s="1"/>
      <x:c r="P43" s="1"/>
      <x:c r="Q43" s="1"/>
      <x:c r="R43" s="1"/>
      <x:c r="S43" s="1"/>
      <x:c r="T43" s="1"/>
      <x:c r="U43" s="1"/>
      <x:c r="V43" s="1"/>
    </x:row>
    <x:row r="44" ht="15" customHeight="1">
      <x:c r="A44" s="5"/>
      <x:c r="B44" s="1"/>
      <x:c r="C44" s="6"/>
      <x:c r="D44" s="6"/>
      <x:c r="E44" s="7"/>
      <x:c r="F44" s="6"/>
      <x:c r="G44" s="6"/>
      <x:c r="H44" s="1"/>
      <x:c r="I44" s="1"/>
      <x:c r="J44" s="1"/>
      <x:c r="K44" s="1"/>
      <x:c r="L44" s="1"/>
      <x:c r="M44" s="1"/>
      <x:c r="N44" s="1"/>
      <x:c r="O44" s="1"/>
      <x:c r="P44" s="1"/>
      <x:c r="Q44" s="1"/>
      <x:c r="R44" s="1"/>
      <x:c r="S44" s="1"/>
      <x:c r="T44" s="1"/>
      <x:c r="U44" s="1"/>
      <x:c r="V44" s="1"/>
    </x:row>
    <x:row r="45" ht="15" customHeight="1">
      <x:c r="A45" s="5"/>
      <x:c r="B45" s="1"/>
      <x:c r="C45" s="6"/>
      <x:c r="D45" s="6"/>
      <x:c r="E45" s="7"/>
      <x:c r="F45" s="6"/>
      <x:c r="G45" s="6"/>
      <x:c r="H45" s="1"/>
      <x:c r="I45" s="1"/>
      <x:c r="J45" s="1"/>
      <x:c r="K45" s="1"/>
      <x:c r="L45" s="1"/>
      <x:c r="M45" s="1"/>
      <x:c r="N45" s="1"/>
      <x:c r="O45" s="1"/>
      <x:c r="P45" s="1"/>
      <x:c r="Q45" s="1"/>
      <x:c r="R45" s="1"/>
      <x:c r="S45" s="1"/>
      <x:c r="T45" s="1"/>
      <x:c r="U45" s="1"/>
      <x:c r="V45" s="1"/>
    </x:row>
    <x:row r="46" ht="15" customHeight="1">
      <x:c r="A46" s="5"/>
      <x:c r="B46" s="1"/>
      <x:c r="C46" s="6"/>
      <x:c r="D46" s="6"/>
      <x:c r="E46" s="7"/>
      <x:c r="F46" s="6"/>
      <x:c r="G46" s="6"/>
      <x:c r="H46" s="1"/>
      <x:c r="I46" s="1"/>
      <x:c r="J46" s="1"/>
      <x:c r="K46" s="1"/>
      <x:c r="L46" s="1"/>
      <x:c r="M46" s="1"/>
      <x:c r="N46" s="1"/>
      <x:c r="O46" s="1"/>
      <x:c r="P46" s="1"/>
      <x:c r="Q46" s="1"/>
      <x:c r="R46" s="1"/>
      <x:c r="S46" s="1"/>
      <x:c r="T46" s="1"/>
      <x:c r="U46" s="1"/>
      <x:c r="V46" s="1"/>
    </x:row>
    <x:row r="47" ht="15" customHeight="1">
      <x:c r="A47" s="5"/>
      <x:c r="B47" s="1"/>
      <x:c r="C47" s="6"/>
      <x:c r="D47" s="6"/>
      <x:c r="E47" s="7"/>
      <x:c r="F47" s="6"/>
      <x:c r="G47" s="6"/>
      <x:c r="H47" s="1"/>
      <x:c r="I47" s="1"/>
      <x:c r="J47" s="1"/>
      <x:c r="K47" s="1"/>
      <x:c r="L47" s="1"/>
      <x:c r="M47" s="1"/>
      <x:c r="N47" s="1"/>
      <x:c r="O47" s="1"/>
      <x:c r="P47" s="1"/>
      <x:c r="Q47" s="1"/>
      <x:c r="R47" s="1"/>
      <x:c r="S47" s="1"/>
      <x:c r="T47" s="1"/>
      <x:c r="U47" s="1"/>
      <x:c r="V47" s="1"/>
    </x:row>
    <x:row r="48" ht="15" customHeight="1">
      <x:c r="A48" s="5"/>
      <x:c r="B48" s="1"/>
      <x:c r="C48" s="6"/>
      <x:c r="D48" s="6"/>
      <x:c r="E48" s="7"/>
      <x:c r="F48" s="6"/>
      <x:c r="G48" s="6"/>
      <x:c r="H48" s="1"/>
      <x:c r="I48" s="1"/>
      <x:c r="J48" s="1"/>
      <x:c r="K48" s="1"/>
      <x:c r="L48" s="1"/>
      <x:c r="M48" s="1"/>
      <x:c r="N48" s="1"/>
      <x:c r="O48" s="1"/>
      <x:c r="P48" s="1"/>
      <x:c r="Q48" s="1"/>
      <x:c r="R48" s="1"/>
      <x:c r="S48" s="1"/>
      <x:c r="T48" s="1"/>
      <x:c r="U48" s="1"/>
      <x:c r="V48" s="1"/>
    </x:row>
    <x:row r="49" ht="15" customHeight="1">
      <x:c r="A49" s="5"/>
      <x:c r="B49" s="1"/>
      <x:c r="C49" s="6"/>
      <x:c r="D49" s="6"/>
      <x:c r="E49" s="7"/>
      <x:c r="F49" s="6"/>
      <x:c r="G49" s="6"/>
      <x:c r="H49" s="1"/>
      <x:c r="I49" s="1"/>
      <x:c r="J49" s="1"/>
      <x:c r="K49" s="1"/>
      <x:c r="L49" s="1"/>
      <x:c r="M49" s="1"/>
      <x:c r="N49" s="1"/>
      <x:c r="O49" s="1"/>
      <x:c r="P49" s="1"/>
      <x:c r="Q49" s="1"/>
      <x:c r="R49" s="1"/>
      <x:c r="S49" s="1"/>
      <x:c r="T49" s="1"/>
      <x:c r="U49" s="1"/>
      <x:c r="V49" s="1"/>
    </x:row>
    <x:row r="50" ht="15" customHeight="1">
      <x:c r="A50" s="5"/>
      <x:c r="B50" s="1"/>
      <x:c r="C50" s="6"/>
      <x:c r="D50" s="6"/>
      <x:c r="E50" s="7"/>
      <x:c r="F50" s="6"/>
      <x:c r="G50" s="6"/>
      <x:c r="H50" s="1"/>
      <x:c r="I50" s="1"/>
      <x:c r="J50" s="1"/>
      <x:c r="K50" s="1"/>
      <x:c r="L50" s="1"/>
      <x:c r="M50" s="1"/>
      <x:c r="N50" s="1"/>
      <x:c r="O50" s="1"/>
      <x:c r="P50" s="1"/>
      <x:c r="Q50" s="1"/>
      <x:c r="R50" s="1"/>
      <x:c r="S50" s="1"/>
      <x:c r="T50" s="1"/>
      <x:c r="U50" s="1"/>
      <x:c r="V50" s="1"/>
    </x:row>
    <x:row r="51" ht="15" customHeight="1">
      <x:c r="A51" s="5"/>
      <x:c r="B51" s="1"/>
      <x:c r="C51" s="6"/>
      <x:c r="D51" s="6"/>
      <x:c r="E51" s="7"/>
      <x:c r="F51" s="6"/>
      <x:c r="G51" s="6"/>
      <x:c r="H51" s="1"/>
      <x:c r="I51" s="1"/>
      <x:c r="J51" s="1"/>
      <x:c r="K51" s="1"/>
      <x:c r="L51" s="1"/>
      <x:c r="M51" s="1"/>
      <x:c r="N51" s="1"/>
      <x:c r="O51" s="1"/>
      <x:c r="P51" s="1"/>
      <x:c r="Q51" s="1"/>
      <x:c r="R51" s="1"/>
      <x:c r="S51" s="1"/>
      <x:c r="T51" s="1"/>
      <x:c r="U51" s="1"/>
      <x:c r="V51" s="1"/>
    </x:row>
    <x:row r="52" ht="15" customHeight="1">
      <x:c r="A52" s="5"/>
      <x:c r="B52" s="1"/>
      <x:c r="C52" s="6"/>
      <x:c r="D52" s="6"/>
      <x:c r="E52" s="7"/>
      <x:c r="F52" s="6"/>
      <x:c r="G52" s="6"/>
      <x:c r="H52" s="1"/>
      <x:c r="I52" s="1"/>
      <x:c r="J52" s="1"/>
      <x:c r="K52" s="1"/>
      <x:c r="L52" s="1"/>
      <x:c r="M52" s="1"/>
      <x:c r="N52" s="1"/>
      <x:c r="O52" s="1"/>
      <x:c r="P52" s="1"/>
      <x:c r="Q52" s="1"/>
      <x:c r="R52" s="1"/>
      <x:c r="S52" s="1"/>
      <x:c r="T52" s="1"/>
      <x:c r="U52" s="1"/>
      <x:c r="V52" s="1"/>
    </x:row>
    <x:row r="53" ht="15" customHeight="1">
      <x:c r="A53" s="5"/>
      <x:c r="B53" s="1"/>
      <x:c r="C53" s="6"/>
      <x:c r="D53" s="6"/>
      <x:c r="E53" s="7"/>
      <x:c r="F53" s="6"/>
      <x:c r="G53" s="6"/>
      <x:c r="H53" s="1"/>
      <x:c r="I53" s="1"/>
      <x:c r="J53" s="1"/>
      <x:c r="K53" s="1"/>
      <x:c r="L53" s="1"/>
      <x:c r="M53" s="1"/>
      <x:c r="N53" s="1"/>
      <x:c r="O53" s="1"/>
      <x:c r="P53" s="1"/>
      <x:c r="Q53" s="1"/>
      <x:c r="R53" s="1"/>
      <x:c r="S53" s="1"/>
      <x:c r="T53" s="1"/>
      <x:c r="U53" s="1"/>
      <x:c r="V53" s="1"/>
    </x:row>
    <x:row r="54" ht="15" customHeight="1">
      <x:c r="A54" s="5"/>
      <x:c r="B54" s="1"/>
      <x:c r="C54" s="6"/>
      <x:c r="D54" s="6"/>
      <x:c r="E54" s="7"/>
      <x:c r="F54" s="6"/>
      <x:c r="G54" s="6"/>
      <x:c r="H54" s="1"/>
      <x:c r="I54" s="1"/>
      <x:c r="J54" s="1"/>
      <x:c r="K54" s="1"/>
      <x:c r="L54" s="1"/>
      <x:c r="M54" s="1"/>
      <x:c r="N54" s="1"/>
      <x:c r="O54" s="1"/>
      <x:c r="P54" s="1"/>
      <x:c r="Q54" s="1"/>
      <x:c r="R54" s="1"/>
      <x:c r="S54" s="1"/>
      <x:c r="T54" s="1"/>
      <x:c r="U54" s="1"/>
      <x:c r="V54" s="1"/>
    </x:row>
    <x:row r="55" ht="15" customHeight="1">
      <x:c r="A55" s="5"/>
      <x:c r="B55" s="1"/>
      <x:c r="C55" s="6"/>
      <x:c r="D55" s="6"/>
      <x:c r="E55" s="7"/>
      <x:c r="F55" s="6"/>
      <x:c r="G55" s="6"/>
      <x:c r="H55" s="1"/>
      <x:c r="I55" s="1"/>
      <x:c r="J55" s="1"/>
      <x:c r="K55" s="1"/>
      <x:c r="L55" s="1"/>
      <x:c r="M55" s="1"/>
      <x:c r="N55" s="1"/>
      <x:c r="O55" s="1"/>
      <x:c r="P55" s="1"/>
      <x:c r="Q55" s="1"/>
      <x:c r="R55" s="1"/>
      <x:c r="S55" s="1"/>
      <x:c r="T55" s="1"/>
      <x:c r="U55" s="1"/>
      <x:c r="V55" s="1"/>
    </x:row>
    <x:row r="56" ht="15" customHeight="1">
      <x:c r="A56" s="5"/>
      <x:c r="B56" s="1"/>
      <x:c r="C56" s="6"/>
      <x:c r="D56" s="6"/>
      <x:c r="E56" s="7"/>
      <x:c r="F56" s="6"/>
      <x:c r="G56" s="6"/>
      <x:c r="H56" s="1"/>
      <x:c r="I56" s="1"/>
      <x:c r="J56" s="1"/>
      <x:c r="K56" s="1"/>
      <x:c r="L56" s="1"/>
      <x:c r="M56" s="1"/>
      <x:c r="N56" s="1"/>
      <x:c r="O56" s="1"/>
      <x:c r="P56" s="1"/>
      <x:c r="Q56" s="1"/>
      <x:c r="R56" s="1"/>
      <x:c r="S56" s="1"/>
      <x:c r="T56" s="1"/>
      <x:c r="U56" s="1"/>
      <x:c r="V56" s="1"/>
    </x:row>
    <x:row r="57" ht="15" customHeight="1">
      <x:c r="A57" s="5"/>
      <x:c r="B57" s="1"/>
      <x:c r="C57" s="6"/>
      <x:c r="D57" s="6"/>
      <x:c r="E57" s="7"/>
      <x:c r="F57" s="6"/>
      <x:c r="G57" s="6"/>
      <x:c r="H57" s="1"/>
      <x:c r="I57" s="1"/>
      <x:c r="J57" s="1"/>
      <x:c r="K57" s="1"/>
      <x:c r="L57" s="1"/>
      <x:c r="M57" s="1"/>
      <x:c r="N57" s="1"/>
      <x:c r="O57" s="1"/>
      <x:c r="P57" s="1"/>
      <x:c r="Q57" s="1"/>
      <x:c r="R57" s="1"/>
      <x:c r="S57" s="1"/>
      <x:c r="T57" s="1"/>
      <x:c r="U57" s="1"/>
      <x:c r="V57" s="1"/>
    </x:row>
    <x:row r="58" ht="15" customHeight="1">
      <x:c r="A58" s="5"/>
      <x:c r="B58" s="1"/>
      <x:c r="C58" s="6"/>
      <x:c r="D58" s="6"/>
      <x:c r="E58" s="7"/>
      <x:c r="F58" s="6"/>
      <x:c r="G58" s="6"/>
      <x:c r="H58" s="1"/>
      <x:c r="I58" s="1"/>
      <x:c r="J58" s="1"/>
      <x:c r="K58" s="1"/>
      <x:c r="L58" s="1"/>
      <x:c r="M58" s="1"/>
      <x:c r="N58" s="1"/>
      <x:c r="O58" s="1"/>
      <x:c r="P58" s="1"/>
      <x:c r="Q58" s="1"/>
      <x:c r="R58" s="1"/>
      <x:c r="S58" s="1"/>
      <x:c r="T58" s="1"/>
      <x:c r="U58" s="1"/>
      <x:c r="V58" s="1"/>
    </x:row>
    <x:row r="59" ht="15" customHeight="1">
      <x:c r="A59" s="5"/>
      <x:c r="B59" s="1"/>
      <x:c r="C59" s="6"/>
      <x:c r="D59" s="6"/>
      <x:c r="E59" s="7"/>
      <x:c r="F59" s="6"/>
      <x:c r="G59" s="6"/>
      <x:c r="H59" s="1"/>
      <x:c r="I59" s="1"/>
      <x:c r="J59" s="1"/>
      <x:c r="K59" s="1"/>
      <x:c r="L59" s="1"/>
      <x:c r="M59" s="1"/>
      <x:c r="N59" s="1"/>
      <x:c r="O59" s="1"/>
      <x:c r="P59" s="1"/>
      <x:c r="Q59" s="1"/>
      <x:c r="R59" s="1"/>
      <x:c r="S59" s="1"/>
      <x:c r="T59" s="1"/>
      <x:c r="U59" s="1"/>
      <x:c r="V59" s="1"/>
    </x:row>
    <x:row r="60" ht="15" customHeight="1">
      <x:c r="A60" s="5"/>
      <x:c r="B60" s="1"/>
      <x:c r="C60" s="6"/>
      <x:c r="D60" s="6"/>
      <x:c r="E60" s="7"/>
      <x:c r="F60" s="6"/>
      <x:c r="G60" s="6"/>
      <x:c r="H60" s="1"/>
      <x:c r="I60" s="1"/>
      <x:c r="J60" s="1"/>
      <x:c r="K60" s="1"/>
      <x:c r="L60" s="1"/>
      <x:c r="M60" s="1"/>
      <x:c r="N60" s="1"/>
      <x:c r="O60" s="1"/>
      <x:c r="P60" s="1"/>
      <x:c r="Q60" s="1"/>
      <x:c r="R60" s="1"/>
      <x:c r="S60" s="1"/>
      <x:c r="T60" s="1"/>
      <x:c r="U60" s="1"/>
      <x:c r="V60" s="1"/>
    </x:row>
    <x:row r="61" ht="15" customHeight="1">
      <x:c r="A61" s="5"/>
      <x:c r="B61" s="1"/>
      <x:c r="C61" s="6"/>
      <x:c r="D61" s="6"/>
      <x:c r="E61" s="7"/>
      <x:c r="F61" s="6"/>
      <x:c r="G61" s="6"/>
      <x:c r="H61" s="1"/>
      <x:c r="I61" s="1"/>
      <x:c r="J61" s="1"/>
      <x:c r="K61" s="1"/>
      <x:c r="L61" s="1"/>
      <x:c r="M61" s="1"/>
      <x:c r="N61" s="1"/>
      <x:c r="O61" s="1"/>
      <x:c r="P61" s="1"/>
      <x:c r="Q61" s="1"/>
      <x:c r="R61" s="1"/>
      <x:c r="S61" s="1"/>
      <x:c r="T61" s="1"/>
      <x:c r="U61" s="1"/>
      <x:c r="V61" s="1"/>
    </x:row>
    <x:row r="62" ht="15" customHeight="1">
      <x:c r="A62" s="5"/>
      <x:c r="B62" s="1"/>
      <x:c r="C62" s="6"/>
      <x:c r="D62" s="6"/>
      <x:c r="E62" s="7"/>
      <x:c r="F62" s="6"/>
      <x:c r="G62" s="6"/>
      <x:c r="H62" s="1"/>
      <x:c r="I62" s="1"/>
      <x:c r="J62" s="1"/>
      <x:c r="K62" s="1"/>
      <x:c r="L62" s="1"/>
      <x:c r="M62" s="1"/>
      <x:c r="N62" s="1"/>
      <x:c r="O62" s="1"/>
      <x:c r="P62" s="1"/>
      <x:c r="Q62" s="1"/>
      <x:c r="R62" s="1"/>
      <x:c r="S62" s="1"/>
      <x:c r="T62" s="1"/>
      <x:c r="U62" s="1"/>
      <x:c r="V62" s="1"/>
    </x:row>
    <x:row r="63" ht="15" customHeight="1">
      <x:c r="A63" s="5"/>
      <x:c r="B63" s="1"/>
      <x:c r="C63" s="6"/>
      <x:c r="D63" s="6"/>
      <x:c r="E63" s="7"/>
      <x:c r="F63" s="6"/>
      <x:c r="G63" s="6"/>
      <x:c r="H63" s="1"/>
      <x:c r="I63" s="1"/>
      <x:c r="J63" s="1"/>
      <x:c r="K63" s="1"/>
      <x:c r="L63" s="1"/>
      <x:c r="M63" s="1"/>
      <x:c r="N63" s="1"/>
      <x:c r="O63" s="1"/>
      <x:c r="P63" s="1"/>
      <x:c r="Q63" s="1"/>
      <x:c r="R63" s="1"/>
      <x:c r="S63" s="1"/>
      <x:c r="T63" s="1"/>
      <x:c r="U63" s="1"/>
      <x:c r="V63" s="1"/>
    </x:row>
    <x:row r="64" ht="15" customHeight="1">
      <x:c r="A64" s="5"/>
      <x:c r="B64" s="1"/>
      <x:c r="C64" s="6"/>
      <x:c r="D64" s="6"/>
      <x:c r="E64" s="7"/>
      <x:c r="F64" s="6"/>
      <x:c r="G64" s="6"/>
      <x:c r="H64" s="1"/>
      <x:c r="I64" s="1"/>
      <x:c r="J64" s="1"/>
      <x:c r="K64" s="1"/>
      <x:c r="L64" s="1"/>
      <x:c r="M64" s="1"/>
      <x:c r="N64" s="1"/>
      <x:c r="O64" s="1"/>
      <x:c r="P64" s="1"/>
      <x:c r="Q64" s="1"/>
      <x:c r="R64" s="1"/>
      <x:c r="S64" s="1"/>
      <x:c r="T64" s="1"/>
      <x:c r="U64" s="1"/>
      <x:c r="V64" s="1"/>
    </x:row>
    <x:row r="65" ht="15" customHeight="1">
      <x:c r="A65" s="5"/>
      <x:c r="B65" s="1"/>
      <x:c r="C65" s="6"/>
      <x:c r="D65" s="6"/>
      <x:c r="E65" s="7"/>
      <x:c r="F65" s="6"/>
      <x:c r="G65" s="6"/>
      <x:c r="H65" s="1"/>
      <x:c r="I65" s="1"/>
      <x:c r="J65" s="1"/>
      <x:c r="K65" s="1"/>
      <x:c r="L65" s="1"/>
      <x:c r="M65" s="1"/>
      <x:c r="N65" s="1"/>
      <x:c r="O65" s="1"/>
      <x:c r="P65" s="1"/>
      <x:c r="Q65" s="1"/>
      <x:c r="R65" s="1"/>
      <x:c r="S65" s="1"/>
      <x:c r="T65" s="1"/>
      <x:c r="U65" s="1"/>
      <x:c r="V65" s="1"/>
    </x:row>
    <x:row r="66" ht="15" customHeight="1">
      <x:c r="A66" s="5"/>
      <x:c r="B66" s="1"/>
      <x:c r="C66" s="6"/>
      <x:c r="D66" s="6"/>
      <x:c r="E66" s="7"/>
      <x:c r="F66" s="6"/>
      <x:c r="G66" s="6"/>
      <x:c r="H66" s="1"/>
      <x:c r="I66" s="1"/>
      <x:c r="J66" s="1"/>
      <x:c r="K66" s="1"/>
      <x:c r="L66" s="1"/>
      <x:c r="M66" s="1"/>
      <x:c r="N66" s="1"/>
      <x:c r="O66" s="1"/>
      <x:c r="P66" s="1"/>
      <x:c r="Q66" s="1"/>
      <x:c r="R66" s="1"/>
      <x:c r="S66" s="1"/>
      <x:c r="T66" s="1"/>
      <x:c r="U66" s="1"/>
      <x:c r="V66" s="1"/>
    </x:row>
    <x:row r="67" ht="15" customHeight="1">
      <x:c r="A67" s="5"/>
      <x:c r="B67" s="1"/>
      <x:c r="C67" s="6"/>
      <x:c r="D67" s="6"/>
      <x:c r="E67" s="7"/>
      <x:c r="F67" s="6"/>
      <x:c r="G67" s="6"/>
      <x:c r="H67" s="1"/>
      <x:c r="I67" s="1"/>
      <x:c r="J67" s="1"/>
      <x:c r="K67" s="1"/>
      <x:c r="L67" s="1"/>
      <x:c r="M67" s="1"/>
      <x:c r="N67" s="1"/>
      <x:c r="O67" s="1"/>
      <x:c r="P67" s="1"/>
      <x:c r="Q67" s="1"/>
      <x:c r="R67" s="1"/>
      <x:c r="S67" s="1"/>
      <x:c r="T67" s="1"/>
      <x:c r="U67" s="1"/>
      <x:c r="V67" s="1"/>
    </x:row>
    <x:row r="68" ht="15" customHeight="1">
      <x:c r="A68" s="5"/>
      <x:c r="B68" s="1"/>
      <x:c r="C68" s="6"/>
      <x:c r="D68" s="6"/>
      <x:c r="E68" s="7"/>
      <x:c r="F68" s="6"/>
      <x:c r="G68" s="6"/>
      <x:c r="H68" s="1"/>
      <x:c r="I68" s="1"/>
      <x:c r="J68" s="1"/>
      <x:c r="K68" s="1"/>
      <x:c r="L68" s="1"/>
      <x:c r="M68" s="1"/>
      <x:c r="N68" s="1"/>
      <x:c r="O68" s="1"/>
      <x:c r="P68" s="1"/>
      <x:c r="Q68" s="1"/>
      <x:c r="R68" s="1"/>
      <x:c r="S68" s="1"/>
      <x:c r="T68" s="1"/>
      <x:c r="U68" s="1"/>
      <x:c r="V68" s="1"/>
    </x:row>
    <x:row r="69" ht="15" customHeight="1">
      <x:c r="A69" s="5"/>
      <x:c r="B69" s="1"/>
      <x:c r="C69" s="6"/>
      <x:c r="D69" s="6"/>
      <x:c r="E69" s="7"/>
      <x:c r="F69" s="6"/>
      <x:c r="G69" s="6"/>
      <x:c r="H69" s="1"/>
      <x:c r="I69" s="1"/>
      <x:c r="J69" s="1"/>
      <x:c r="K69" s="1"/>
      <x:c r="L69" s="1"/>
      <x:c r="M69" s="1"/>
      <x:c r="N69" s="1"/>
      <x:c r="O69" s="1"/>
      <x:c r="P69" s="1"/>
      <x:c r="Q69" s="1"/>
      <x:c r="R69" s="1"/>
      <x:c r="S69" s="1"/>
      <x:c r="T69" s="1"/>
      <x:c r="U69" s="1"/>
      <x:c r="V69" s="1"/>
    </x:row>
    <x:row r="70" ht="15" customHeight="1">
      <x:c r="A70" s="5"/>
      <x:c r="B70" s="1"/>
      <x:c r="C70" s="6"/>
      <x:c r="D70" s="6"/>
      <x:c r="E70" s="7"/>
      <x:c r="F70" s="6"/>
      <x:c r="G70" s="6"/>
      <x:c r="H70" s="1"/>
      <x:c r="I70" s="1"/>
      <x:c r="J70" s="1"/>
      <x:c r="K70" s="1"/>
      <x:c r="L70" s="1"/>
      <x:c r="M70" s="1"/>
      <x:c r="N70" s="1"/>
      <x:c r="O70" s="1"/>
      <x:c r="P70" s="1"/>
      <x:c r="Q70" s="1"/>
      <x:c r="R70" s="1"/>
      <x:c r="S70" s="1"/>
      <x:c r="T70" s="1"/>
      <x:c r="U70" s="1"/>
      <x:c r="V70" s="1"/>
    </x:row>
    <x:row r="71" ht="15" customHeight="1">
      <x:c r="A71" s="5"/>
      <x:c r="B71" s="1"/>
      <x:c r="C71" s="6"/>
      <x:c r="D71" s="6"/>
      <x:c r="E71" s="7"/>
      <x:c r="F71" s="6"/>
      <x:c r="G71" s="6"/>
      <x:c r="H71" s="1"/>
      <x:c r="I71" s="1"/>
      <x:c r="J71" s="1"/>
      <x:c r="K71" s="1"/>
      <x:c r="L71" s="1"/>
      <x:c r="M71" s="1"/>
      <x:c r="N71" s="1"/>
      <x:c r="O71" s="1"/>
      <x:c r="P71" s="1"/>
      <x:c r="Q71" s="1"/>
      <x:c r="R71" s="1"/>
      <x:c r="S71" s="1"/>
      <x:c r="T71" s="1"/>
      <x:c r="U71" s="1"/>
      <x:c r="V71" s="1"/>
    </x:row>
    <x:row r="72" ht="15" customHeight="1">
      <x:c r="A72" s="5"/>
      <x:c r="B72" s="1"/>
      <x:c r="C72" s="6"/>
      <x:c r="D72" s="6"/>
      <x:c r="E72" s="7"/>
      <x:c r="F72" s="6"/>
      <x:c r="G72" s="6"/>
      <x:c r="H72" s="1"/>
      <x:c r="I72" s="1"/>
      <x:c r="J72" s="1"/>
      <x:c r="K72" s="1"/>
      <x:c r="L72" s="1"/>
      <x:c r="M72" s="1"/>
      <x:c r="N72" s="1"/>
      <x:c r="O72" s="1"/>
      <x:c r="P72" s="1"/>
      <x:c r="Q72" s="1"/>
      <x:c r="R72" s="1"/>
      <x:c r="S72" s="1"/>
      <x:c r="T72" s="1"/>
      <x:c r="U72" s="1"/>
      <x:c r="V72" s="1"/>
    </x:row>
    <x:row r="73" ht="15" customHeight="1">
      <x:c r="A73" s="5"/>
      <x:c r="B73" s="1"/>
      <x:c r="C73" s="6"/>
      <x:c r="D73" s="6"/>
      <x:c r="E73" s="7"/>
      <x:c r="F73" s="6"/>
      <x:c r="G73" s="6"/>
      <x:c r="H73" s="1"/>
      <x:c r="I73" s="1"/>
      <x:c r="J73" s="1"/>
      <x:c r="K73" s="1"/>
      <x:c r="L73" s="1"/>
      <x:c r="M73" s="1"/>
      <x:c r="N73" s="1"/>
      <x:c r="O73" s="1"/>
      <x:c r="P73" s="1"/>
      <x:c r="Q73" s="1"/>
      <x:c r="R73" s="1"/>
      <x:c r="S73" s="1"/>
      <x:c r="T73" s="1"/>
      <x:c r="U73" s="1"/>
      <x:c r="V73" s="1"/>
    </x:row>
    <x:row r="74" ht="15" customHeight="1">
      <x:c r="A74" s="5"/>
      <x:c r="B74" s="1"/>
      <x:c r="C74" s="6"/>
      <x:c r="D74" s="6"/>
      <x:c r="E74" s="7"/>
      <x:c r="F74" s="6"/>
      <x:c r="G74" s="6"/>
      <x:c r="H74" s="1"/>
      <x:c r="I74" s="1"/>
      <x:c r="J74" s="1"/>
      <x:c r="K74" s="1"/>
      <x:c r="L74" s="1"/>
      <x:c r="M74" s="1"/>
      <x:c r="N74" s="1"/>
      <x:c r="O74" s="1"/>
      <x:c r="P74" s="1"/>
      <x:c r="Q74" s="1"/>
      <x:c r="R74" s="1"/>
      <x:c r="S74" s="1"/>
      <x:c r="T74" s="1"/>
      <x:c r="U74" s="1"/>
      <x:c r="V74" s="1"/>
    </x:row>
    <x:row r="75" ht="15" customHeight="1">
      <x:c r="A75" s="5"/>
      <x:c r="B75" s="1"/>
      <x:c r="C75" s="6"/>
      <x:c r="D75" s="6"/>
      <x:c r="E75" s="7"/>
      <x:c r="F75" s="6"/>
      <x:c r="G75" s="6"/>
      <x:c r="H75" s="1"/>
      <x:c r="I75" s="1"/>
      <x:c r="J75" s="1"/>
      <x:c r="K75" s="1"/>
      <x:c r="L75" s="1"/>
      <x:c r="M75" s="1"/>
      <x:c r="N75" s="1"/>
      <x:c r="O75" s="1"/>
      <x:c r="P75" s="1"/>
      <x:c r="Q75" s="1"/>
      <x:c r="R75" s="1"/>
      <x:c r="S75" s="1"/>
      <x:c r="T75" s="1"/>
      <x:c r="U75" s="1"/>
      <x:c r="V75" s="1"/>
    </x:row>
    <x:row r="76" ht="15" customHeight="1">
      <x:c r="A76" s="5"/>
      <x:c r="B76" s="1"/>
      <x:c r="C76" s="6"/>
      <x:c r="D76" s="6"/>
      <x:c r="E76" s="7"/>
      <x:c r="F76" s="6"/>
      <x:c r="G76" s="6"/>
      <x:c r="H76" s="1"/>
      <x:c r="I76" s="1"/>
      <x:c r="J76" s="1"/>
      <x:c r="K76" s="1"/>
      <x:c r="L76" s="1"/>
      <x:c r="M76" s="1"/>
      <x:c r="N76" s="1"/>
      <x:c r="O76" s="1"/>
      <x:c r="P76" s="1"/>
      <x:c r="Q76" s="1"/>
      <x:c r="R76" s="1"/>
      <x:c r="S76" s="1"/>
      <x:c r="T76" s="1"/>
      <x:c r="U76" s="1"/>
      <x:c r="V76" s="1"/>
    </x:row>
    <x:row r="77" ht="15" customHeight="1">
      <x:c r="A77" s="5"/>
      <x:c r="B77" s="1"/>
      <x:c r="C77" s="6"/>
      <x:c r="D77" s="6"/>
      <x:c r="E77" s="7"/>
      <x:c r="F77" s="6"/>
      <x:c r="G77" s="6"/>
      <x:c r="H77" s="1"/>
      <x:c r="I77" s="1"/>
      <x:c r="J77" s="1"/>
      <x:c r="K77" s="1"/>
      <x:c r="L77" s="1"/>
      <x:c r="M77" s="1"/>
      <x:c r="N77" s="1"/>
      <x:c r="O77" s="1"/>
      <x:c r="P77" s="1"/>
      <x:c r="Q77" s="1"/>
      <x:c r="R77" s="1"/>
      <x:c r="S77" s="1"/>
      <x:c r="T77" s="1"/>
      <x:c r="U77" s="1"/>
      <x:c r="V77" s="1"/>
    </x:row>
    <x:row r="78" ht="15" customHeight="1">
      <x:c r="A78" s="5"/>
      <x:c r="B78" s="1"/>
      <x:c r="C78" s="6"/>
      <x:c r="D78" s="6"/>
      <x:c r="E78" s="7"/>
      <x:c r="F78" s="6"/>
      <x:c r="G78" s="6"/>
      <x:c r="H78" s="1"/>
      <x:c r="I78" s="1"/>
      <x:c r="J78" s="1"/>
      <x:c r="K78" s="1"/>
      <x:c r="L78" s="1"/>
      <x:c r="M78" s="1"/>
      <x:c r="N78" s="1"/>
      <x:c r="O78" s="1"/>
      <x:c r="P78" s="1"/>
      <x:c r="Q78" s="1"/>
      <x:c r="R78" s="1"/>
      <x:c r="S78" s="1"/>
      <x:c r="T78" s="1"/>
      <x:c r="U78" s="1"/>
      <x:c r="V78" s="1"/>
    </x:row>
    <x:row r="79" ht="15" customHeight="1">
      <x:c r="A79" s="5"/>
      <x:c r="B79" s="1"/>
      <x:c r="C79" s="6"/>
      <x:c r="D79" s="6"/>
      <x:c r="E79" s="7"/>
      <x:c r="F79" s="6"/>
      <x:c r="G79" s="6"/>
      <x:c r="H79" s="1"/>
      <x:c r="I79" s="1"/>
      <x:c r="J79" s="1"/>
      <x:c r="K79" s="1"/>
      <x:c r="L79" s="1"/>
      <x:c r="M79" s="1"/>
      <x:c r="N79" s="1"/>
      <x:c r="O79" s="1"/>
      <x:c r="P79" s="1"/>
      <x:c r="Q79" s="1"/>
      <x:c r="R79" s="1"/>
      <x:c r="S79" s="1"/>
      <x:c r="T79" s="1"/>
      <x:c r="U79" s="1"/>
      <x:c r="V79" s="1"/>
    </x:row>
    <x:row r="80" ht="15" customHeight="1">
      <x:c r="A80" s="5"/>
      <x:c r="B80" s="1"/>
      <x:c r="C80" s="6"/>
      <x:c r="D80" s="6"/>
      <x:c r="E80" s="7"/>
      <x:c r="F80" s="6"/>
      <x:c r="G80" s="6"/>
      <x:c r="H80" s="1"/>
      <x:c r="I80" s="1"/>
      <x:c r="J80" s="1"/>
      <x:c r="K80" s="1"/>
      <x:c r="L80" s="1"/>
      <x:c r="M80" s="1"/>
      <x:c r="N80" s="1"/>
      <x:c r="O80" s="1"/>
      <x:c r="P80" s="1"/>
      <x:c r="Q80" s="1"/>
      <x:c r="R80" s="1"/>
      <x:c r="S80" s="1"/>
      <x:c r="T80" s="1"/>
      <x:c r="U80" s="1"/>
      <x:c r="V80" s="1"/>
    </x:row>
    <x:row r="81" ht="15" customHeight="1">
      <x:c r="A81" s="5"/>
      <x:c r="B81" s="1"/>
      <x:c r="C81" s="6"/>
      <x:c r="D81" s="6"/>
      <x:c r="E81" s="7"/>
      <x:c r="F81" s="6"/>
      <x:c r="G81" s="6"/>
      <x:c r="H81" s="1"/>
      <x:c r="I81" s="1"/>
      <x:c r="J81" s="1"/>
      <x:c r="K81" s="1"/>
      <x:c r="L81" s="1"/>
      <x:c r="M81" s="1"/>
      <x:c r="N81" s="1"/>
      <x:c r="O81" s="1"/>
      <x:c r="P81" s="1"/>
      <x:c r="Q81" s="1"/>
      <x:c r="R81" s="1"/>
      <x:c r="S81" s="1"/>
      <x:c r="T81" s="1"/>
      <x:c r="U81" s="1"/>
      <x:c r="V81" s="1"/>
    </x:row>
    <x:row r="82" ht="15" customHeight="1">
      <x:c r="A82" s="5"/>
      <x:c r="B82" s="1"/>
      <x:c r="C82" s="6"/>
      <x:c r="D82" s="6"/>
      <x:c r="E82" s="7"/>
      <x:c r="F82" s="6"/>
      <x:c r="G82" s="6"/>
      <x:c r="H82" s="1"/>
      <x:c r="I82" s="1"/>
      <x:c r="J82" s="1"/>
      <x:c r="K82" s="1"/>
      <x:c r="L82" s="1"/>
      <x:c r="M82" s="1"/>
      <x:c r="N82" s="1"/>
      <x:c r="O82" s="1"/>
      <x:c r="P82" s="1"/>
      <x:c r="Q82" s="1"/>
      <x:c r="R82" s="1"/>
      <x:c r="S82" s="1"/>
      <x:c r="T82" s="1"/>
      <x:c r="U82" s="1"/>
      <x:c r="V82" s="1"/>
    </x:row>
    <x:row r="83" ht="15" customHeight="1">
      <x:c r="A83" s="5"/>
      <x:c r="B83" s="1"/>
      <x:c r="C83" s="6"/>
      <x:c r="D83" s="6"/>
      <x:c r="E83" s="7"/>
      <x:c r="F83" s="6"/>
      <x:c r="G83" s="6"/>
      <x:c r="H83" s="1"/>
      <x:c r="I83" s="1"/>
      <x:c r="J83" s="1"/>
      <x:c r="K83" s="1"/>
      <x:c r="L83" s="1"/>
      <x:c r="M83" s="1"/>
      <x:c r="N83" s="1"/>
      <x:c r="O83" s="1"/>
      <x:c r="P83" s="1"/>
      <x:c r="Q83" s="1"/>
      <x:c r="R83" s="1"/>
      <x:c r="S83" s="1"/>
      <x:c r="T83" s="1"/>
      <x:c r="U83" s="1"/>
      <x:c r="V83" s="1"/>
    </x:row>
    <x:row r="84" ht="15" customHeight="1">
      <x:c r="A84" s="5"/>
      <x:c r="B84" s="1"/>
      <x:c r="C84" s="6"/>
      <x:c r="D84" s="6"/>
      <x:c r="E84" s="7"/>
      <x:c r="F84" s="6"/>
      <x:c r="G84" s="6"/>
      <x:c r="H84" s="1"/>
      <x:c r="I84" s="1"/>
      <x:c r="J84" s="1"/>
      <x:c r="K84" s="1"/>
      <x:c r="L84" s="1"/>
      <x:c r="M84" s="1"/>
      <x:c r="N84" s="1"/>
      <x:c r="O84" s="1"/>
      <x:c r="P84" s="1"/>
      <x:c r="Q84" s="1"/>
      <x:c r="R84" s="1"/>
      <x:c r="S84" s="1"/>
      <x:c r="T84" s="1"/>
      <x:c r="U84" s="1"/>
      <x:c r="V84" s="1"/>
    </x:row>
    <x:row r="85" ht="15" customHeight="1">
      <x:c r="A85" s="5"/>
      <x:c r="B85" s="1"/>
      <x:c r="C85" s="6"/>
      <x:c r="D85" s="6"/>
      <x:c r="E85" s="7"/>
      <x:c r="F85" s="6"/>
      <x:c r="G85" s="6"/>
      <x:c r="H85" s="1"/>
      <x:c r="I85" s="1"/>
      <x:c r="J85" s="1"/>
      <x:c r="K85" s="1"/>
      <x:c r="L85" s="1"/>
      <x:c r="M85" s="1"/>
      <x:c r="N85" s="1"/>
      <x:c r="O85" s="1"/>
      <x:c r="P85" s="1"/>
      <x:c r="Q85" s="1"/>
      <x:c r="R85" s="1"/>
      <x:c r="S85" s="1"/>
      <x:c r="T85" s="1"/>
      <x:c r="U85" s="1"/>
      <x:c r="V85" s="1"/>
    </x:row>
    <x:row r="86" ht="15" customHeight="1">
      <x:c r="A86" s="5"/>
      <x:c r="B86" s="1"/>
      <x:c r="C86" s="6"/>
      <x:c r="D86" s="6"/>
      <x:c r="E86" s="7"/>
      <x:c r="F86" s="6"/>
      <x:c r="G86" s="6"/>
      <x:c r="H86" s="1"/>
      <x:c r="I86" s="1"/>
      <x:c r="J86" s="1"/>
      <x:c r="K86" s="1"/>
      <x:c r="L86" s="1"/>
      <x:c r="M86" s="1"/>
      <x:c r="N86" s="1"/>
      <x:c r="O86" s="1"/>
      <x:c r="P86" s="1"/>
      <x:c r="Q86" s="1"/>
      <x:c r="R86" s="1"/>
      <x:c r="S86" s="1"/>
      <x:c r="T86" s="1"/>
      <x:c r="U86" s="1"/>
      <x:c r="V86" s="1"/>
    </x:row>
    <x:row r="87" ht="15" customHeight="1">
      <x:c r="A87" s="5"/>
      <x:c r="B87" s="1"/>
      <x:c r="C87" s="6"/>
      <x:c r="D87" s="6"/>
      <x:c r="E87" s="7"/>
      <x:c r="F87" s="6"/>
      <x:c r="G87" s="6"/>
      <x:c r="H87" s="1"/>
      <x:c r="I87" s="1"/>
      <x:c r="J87" s="1"/>
      <x:c r="K87" s="1"/>
      <x:c r="L87" s="1"/>
      <x:c r="M87" s="1"/>
      <x:c r="N87" s="1"/>
      <x:c r="O87" s="1"/>
      <x:c r="P87" s="1"/>
      <x:c r="Q87" s="1"/>
      <x:c r="R87" s="1"/>
      <x:c r="S87" s="1"/>
      <x:c r="T87" s="1"/>
      <x:c r="U87" s="1"/>
      <x:c r="V87" s="1"/>
    </x:row>
    <x:row r="88" ht="15" customHeight="1">
      <x:c r="A88" s="5"/>
      <x:c r="B88" s="1"/>
      <x:c r="C88" s="6"/>
      <x:c r="D88" s="6"/>
      <x:c r="E88" s="7"/>
      <x:c r="F88" s="6"/>
      <x:c r="G88" s="6"/>
      <x:c r="H88" s="1"/>
      <x:c r="I88" s="1"/>
      <x:c r="J88" s="1"/>
      <x:c r="K88" s="1"/>
      <x:c r="L88" s="1"/>
      <x:c r="M88" s="1"/>
      <x:c r="N88" s="1"/>
      <x:c r="O88" s="1"/>
      <x:c r="P88" s="1"/>
      <x:c r="Q88" s="1"/>
      <x:c r="R88" s="1"/>
      <x:c r="S88" s="1"/>
      <x:c r="T88" s="1"/>
      <x:c r="U88" s="1"/>
      <x:c r="V88" s="1"/>
    </x:row>
    <x:row r="89" ht="15" customHeight="1">
      <x:c r="A89" s="5"/>
      <x:c r="B89" s="1"/>
      <x:c r="C89" s="6"/>
      <x:c r="D89" s="6"/>
      <x:c r="E89" s="7"/>
      <x:c r="F89" s="6"/>
      <x:c r="G89" s="6"/>
      <x:c r="H89" s="1"/>
      <x:c r="I89" s="1"/>
      <x:c r="J89" s="1"/>
      <x:c r="K89" s="1"/>
      <x:c r="L89" s="1"/>
      <x:c r="M89" s="1"/>
      <x:c r="N89" s="1"/>
      <x:c r="O89" s="1"/>
      <x:c r="P89" s="1"/>
      <x:c r="Q89" s="1"/>
      <x:c r="R89" s="1"/>
      <x:c r="S89" s="1"/>
      <x:c r="T89" s="1"/>
      <x:c r="U89" s="1"/>
      <x:c r="V89" s="1"/>
    </x:row>
    <x:row r="90" ht="15" customHeight="1">
      <x:c r="A90" s="5"/>
      <x:c r="B90" s="1"/>
      <x:c r="C90" s="6"/>
      <x:c r="D90" s="6"/>
      <x:c r="E90" s="7"/>
      <x:c r="F90" s="6"/>
      <x:c r="G90" s="6"/>
      <x:c r="H90" s="1"/>
      <x:c r="I90" s="1"/>
      <x:c r="J90" s="1"/>
      <x:c r="K90" s="1"/>
      <x:c r="L90" s="1"/>
      <x:c r="M90" s="1"/>
      <x:c r="N90" s="1"/>
      <x:c r="O90" s="1"/>
      <x:c r="P90" s="1"/>
      <x:c r="Q90" s="1"/>
      <x:c r="R90" s="1"/>
      <x:c r="S90" s="1"/>
      <x:c r="T90" s="1"/>
      <x:c r="U90" s="1"/>
      <x:c r="V90" s="1"/>
    </x:row>
    <x:row r="91" ht="15" customHeight="1">
      <x:c r="A91" s="5"/>
      <x:c r="B91" s="1"/>
      <x:c r="C91" s="6"/>
      <x:c r="D91" s="6"/>
      <x:c r="E91" s="7"/>
      <x:c r="F91" s="6"/>
      <x:c r="G91" s="6"/>
      <x:c r="H91" s="1"/>
      <x:c r="I91" s="1"/>
      <x:c r="J91" s="1"/>
      <x:c r="K91" s="1"/>
      <x:c r="L91" s="1"/>
      <x:c r="M91" s="1"/>
      <x:c r="N91" s="1"/>
      <x:c r="O91" s="1"/>
      <x:c r="P91" s="1"/>
      <x:c r="Q91" s="1"/>
      <x:c r="R91" s="1"/>
      <x:c r="S91" s="1"/>
      <x:c r="T91" s="1"/>
      <x:c r="U91" s="1"/>
      <x:c r="V91" s="1"/>
    </x:row>
    <x:row r="92" ht="15" customHeight="1">
      <x:c r="A92" s="5"/>
      <x:c r="B92" s="1"/>
      <x:c r="C92" s="6"/>
      <x:c r="D92" s="6"/>
      <x:c r="E92" s="7"/>
      <x:c r="F92" s="6"/>
      <x:c r="G92" s="6"/>
      <x:c r="H92" s="1"/>
      <x:c r="I92" s="1"/>
      <x:c r="J92" s="1"/>
      <x:c r="K92" s="1"/>
      <x:c r="L92" s="1"/>
      <x:c r="M92" s="1"/>
      <x:c r="N92" s="1"/>
      <x:c r="O92" s="1"/>
      <x:c r="P92" s="1"/>
      <x:c r="Q92" s="1"/>
      <x:c r="R92" s="1"/>
      <x:c r="S92" s="1"/>
      <x:c r="T92" s="1"/>
      <x:c r="U92" s="1"/>
      <x:c r="V92" s="1"/>
    </x:row>
    <x:row r="93" ht="15" customHeight="1">
      <x:c r="A93" s="5"/>
      <x:c r="B93" s="1"/>
      <x:c r="C93" s="6"/>
      <x:c r="D93" s="6"/>
      <x:c r="E93" s="7"/>
      <x:c r="F93" s="6"/>
      <x:c r="G93" s="6"/>
      <x:c r="H93" s="1"/>
      <x:c r="I93" s="1"/>
      <x:c r="J93" s="1"/>
      <x:c r="K93" s="1"/>
      <x:c r="L93" s="1"/>
      <x:c r="M93" s="1"/>
      <x:c r="N93" s="1"/>
      <x:c r="O93" s="1"/>
      <x:c r="P93" s="1"/>
      <x:c r="Q93" s="1"/>
      <x:c r="R93" s="1"/>
      <x:c r="S93" s="1"/>
      <x:c r="T93" s="1"/>
      <x:c r="U93" s="1"/>
      <x:c r="V93" s="1"/>
    </x:row>
    <x:row r="94" ht="15" customHeight="1">
      <x:c r="A94" s="5"/>
      <x:c r="B94" s="1"/>
      <x:c r="C94" s="6"/>
      <x:c r="D94" s="6"/>
      <x:c r="E94" s="7"/>
      <x:c r="F94" s="6"/>
      <x:c r="G94" s="6"/>
      <x:c r="H94" s="1"/>
      <x:c r="I94" s="1"/>
      <x:c r="J94" s="1"/>
      <x:c r="K94" s="1"/>
      <x:c r="L94" s="1"/>
      <x:c r="M94" s="1"/>
      <x:c r="N94" s="1"/>
      <x:c r="O94" s="1"/>
      <x:c r="P94" s="1"/>
      <x:c r="Q94" s="1"/>
      <x:c r="R94" s="1"/>
      <x:c r="S94" s="1"/>
      <x:c r="T94" s="1"/>
      <x:c r="U94" s="1"/>
      <x:c r="V94" s="1"/>
    </x:row>
    <x:row r="95" ht="15" customHeight="1">
      <x:c r="A95" s="5"/>
      <x:c r="B95" s="1"/>
      <x:c r="C95" s="6"/>
      <x:c r="D95" s="6"/>
      <x:c r="E95" s="7"/>
      <x:c r="F95" s="6"/>
      <x:c r="G95" s="6"/>
      <x:c r="H95" s="1"/>
      <x:c r="I95" s="1"/>
      <x:c r="J95" s="1"/>
      <x:c r="K95" s="1"/>
      <x:c r="L95" s="1"/>
      <x:c r="M95" s="1"/>
      <x:c r="N95" s="1"/>
      <x:c r="O95" s="1"/>
      <x:c r="P95" s="1"/>
      <x:c r="Q95" s="1"/>
      <x:c r="R95" s="1"/>
      <x:c r="S95" s="1"/>
      <x:c r="T95" s="1"/>
      <x:c r="U95" s="1"/>
      <x:c r="V95" s="1"/>
    </x:row>
    <x:row r="96" ht="15" customHeight="1">
      <x:c r="A96" s="5"/>
      <x:c r="B96" s="1"/>
      <x:c r="C96" s="6"/>
      <x:c r="D96" s="6"/>
      <x:c r="E96" s="7"/>
      <x:c r="F96" s="6"/>
      <x:c r="G96" s="6"/>
      <x:c r="H96" s="1"/>
      <x:c r="I96" s="1"/>
      <x:c r="J96" s="1"/>
      <x:c r="K96" s="1"/>
      <x:c r="L96" s="1"/>
      <x:c r="M96" s="1"/>
      <x:c r="N96" s="1"/>
      <x:c r="O96" s="1"/>
      <x:c r="P96" s="1"/>
      <x:c r="Q96" s="1"/>
      <x:c r="R96" s="1"/>
      <x:c r="S96" s="1"/>
      <x:c r="T96" s="1"/>
      <x:c r="U96" s="1"/>
      <x:c r="V96" s="1"/>
    </x:row>
    <x:row r="97" ht="15" customHeight="1">
      <x:c r="A97" s="5"/>
      <x:c r="B97" s="1"/>
      <x:c r="C97" s="6"/>
      <x:c r="D97" s="6"/>
      <x:c r="E97" s="7"/>
      <x:c r="F97" s="6"/>
      <x:c r="G97" s="6"/>
      <x:c r="H97" s="1"/>
      <x:c r="I97" s="1"/>
      <x:c r="J97" s="1"/>
      <x:c r="K97" s="1"/>
      <x:c r="L97" s="1"/>
      <x:c r="M97" s="1"/>
      <x:c r="N97" s="1"/>
      <x:c r="O97" s="1"/>
      <x:c r="P97" s="1"/>
      <x:c r="Q97" s="1"/>
      <x:c r="R97" s="1"/>
      <x:c r="S97" s="1"/>
      <x:c r="T97" s="1"/>
      <x:c r="U97" s="1"/>
      <x:c r="V97" s="1"/>
    </x:row>
    <x:row r="98" ht="15" customHeight="1">
      <x:c r="A98" s="5"/>
      <x:c r="B98" s="1"/>
      <x:c r="C98" s="6"/>
      <x:c r="D98" s="6"/>
      <x:c r="E98" s="7"/>
      <x:c r="F98" s="6"/>
      <x:c r="G98" s="6"/>
      <x:c r="H98" s="1"/>
      <x:c r="I98" s="1"/>
      <x:c r="J98" s="1"/>
      <x:c r="K98" s="1"/>
      <x:c r="L98" s="1"/>
      <x:c r="M98" s="1"/>
      <x:c r="N98" s="1"/>
      <x:c r="O98" s="1"/>
      <x:c r="P98" s="1"/>
      <x:c r="Q98" s="1"/>
      <x:c r="R98" s="1"/>
      <x:c r="S98" s="1"/>
      <x:c r="T98" s="1"/>
      <x:c r="U98" s="1"/>
      <x:c r="V98" s="1"/>
    </x:row>
    <x:row r="99" ht="15" customHeight="1">
      <x:c r="A99" s="5"/>
      <x:c r="B99" s="1"/>
      <x:c r="C99" s="6"/>
      <x:c r="D99" s="6"/>
      <x:c r="E99" s="7"/>
      <x:c r="F99" s="6"/>
      <x:c r="G99" s="6"/>
      <x:c r="H99" s="1"/>
      <x:c r="I99" s="1"/>
      <x:c r="J99" s="1"/>
      <x:c r="K99" s="1"/>
      <x:c r="L99" s="1"/>
      <x:c r="M99" s="1"/>
      <x:c r="N99" s="1"/>
      <x:c r="O99" s="1"/>
      <x:c r="P99" s="1"/>
      <x:c r="Q99" s="1"/>
      <x:c r="R99" s="1"/>
      <x:c r="S99" s="1"/>
      <x:c r="T99" s="1"/>
      <x:c r="U99" s="1"/>
      <x:c r="V99" s="1"/>
    </x:row>
    <x:row r="100" ht="15" customHeight="1">
      <x:c r="A100" s="5"/>
      <x:c r="B100" s="1"/>
      <x:c r="C100" s="6"/>
      <x:c r="D100" s="6"/>
      <x:c r="E100" s="7"/>
      <x:c r="F100" s="6"/>
      <x:c r="G100" s="6"/>
      <x:c r="H100" s="1"/>
      <x:c r="I100" s="1"/>
      <x:c r="J100" s="1"/>
      <x:c r="K100" s="1"/>
      <x:c r="L100" s="1"/>
      <x:c r="M100" s="1"/>
      <x:c r="N100" s="1"/>
      <x:c r="O100" s="1"/>
      <x:c r="P100" s="1"/>
      <x:c r="Q100" s="1"/>
      <x:c r="R100" s="1"/>
      <x:c r="S100" s="1"/>
      <x:c r="T100" s="1"/>
      <x:c r="U100" s="1"/>
      <x:c r="V100" s="1"/>
    </x:row>
    <x:row r="101" ht="15" customHeight="1">
      <x:c r="A101" s="5"/>
      <x:c r="B101" s="1"/>
      <x:c r="C101" s="6"/>
      <x:c r="D101" s="6"/>
      <x:c r="E101" s="7"/>
      <x:c r="F101" s="6"/>
      <x:c r="G101" s="6"/>
      <x:c r="H101" s="1"/>
      <x:c r="I101" s="1"/>
      <x:c r="J101" s="1"/>
      <x:c r="K101" s="1"/>
      <x:c r="L101" s="1"/>
      <x:c r="M101" s="1"/>
      <x:c r="N101" s="1"/>
      <x:c r="O101" s="1"/>
      <x:c r="P101" s="1"/>
      <x:c r="Q101" s="1"/>
      <x:c r="R101" s="1"/>
      <x:c r="S101" s="1"/>
      <x:c r="T101" s="1"/>
      <x:c r="U101" s="1"/>
      <x:c r="V101" s="1"/>
    </x:row>
    <x:row r="102" ht="15" customHeight="1">
      <x:c r="A102" s="5"/>
      <x:c r="B102" s="1"/>
      <x:c r="C102" s="6"/>
      <x:c r="D102" s="6"/>
      <x:c r="E102" s="7"/>
      <x:c r="F102" s="6"/>
      <x:c r="G102" s="6"/>
      <x:c r="H102" s="1"/>
      <x:c r="I102" s="1"/>
      <x:c r="J102" s="1"/>
      <x:c r="K102" s="1"/>
      <x:c r="L102" s="1"/>
      <x:c r="M102" s="1"/>
      <x:c r="N102" s="1"/>
      <x:c r="O102" s="1"/>
      <x:c r="P102" s="1"/>
      <x:c r="Q102" s="1"/>
      <x:c r="R102" s="1"/>
      <x:c r="S102" s="1"/>
      <x:c r="T102" s="1"/>
      <x:c r="U102" s="1"/>
      <x:c r="V102" s="1"/>
    </x:row>
    <x:row r="103" ht="15" customHeight="1">
      <x:c r="A103" s="5"/>
      <x:c r="B103" s="1"/>
      <x:c r="C103" s="6"/>
      <x:c r="D103" s="6"/>
      <x:c r="E103" s="7"/>
      <x:c r="F103" s="6"/>
      <x:c r="G103" s="6"/>
      <x:c r="H103" s="1"/>
      <x:c r="I103" s="1"/>
      <x:c r="J103" s="1"/>
      <x:c r="K103" s="1"/>
      <x:c r="L103" s="1"/>
      <x:c r="M103" s="1"/>
      <x:c r="N103" s="1"/>
      <x:c r="O103" s="1"/>
      <x:c r="P103" s="1"/>
      <x:c r="Q103" s="1"/>
      <x:c r="R103" s="1"/>
      <x:c r="S103" s="1"/>
      <x:c r="T103" s="1"/>
      <x:c r="U103" s="1"/>
      <x:c r="V103" s="1"/>
    </x:row>
    <x:row r="104" ht="15" customHeight="1">
      <x:c r="A104" s="5"/>
      <x:c r="B104" s="1"/>
      <x:c r="C104" s="6"/>
      <x:c r="D104" s="6"/>
      <x:c r="E104" s="7"/>
      <x:c r="F104" s="6"/>
      <x:c r="G104" s="6"/>
      <x:c r="H104" s="1"/>
      <x:c r="I104" s="1"/>
      <x:c r="J104" s="1"/>
      <x:c r="K104" s="1"/>
      <x:c r="L104" s="1"/>
      <x:c r="M104" s="1"/>
      <x:c r="N104" s="1"/>
      <x:c r="O104" s="1"/>
      <x:c r="P104" s="1"/>
      <x:c r="Q104" s="1"/>
      <x:c r="R104" s="1"/>
      <x:c r="S104" s="1"/>
      <x:c r="T104" s="1"/>
      <x:c r="U104" s="1"/>
      <x:c r="V104" s="1"/>
    </x:row>
    <x:row r="105" ht="15" customHeight="1">
      <x:c r="A105" s="5"/>
      <x:c r="B105" s="1"/>
      <x:c r="C105" s="6"/>
      <x:c r="D105" s="6"/>
      <x:c r="E105" s="7"/>
      <x:c r="F105" s="6"/>
      <x:c r="G105" s="6"/>
      <x:c r="H105" s="1"/>
      <x:c r="I105" s="1"/>
      <x:c r="J105" s="1"/>
      <x:c r="K105" s="1"/>
      <x:c r="L105" s="1"/>
      <x:c r="M105" s="1"/>
      <x:c r="N105" s="1"/>
      <x:c r="O105" s="1"/>
      <x:c r="P105" s="1"/>
      <x:c r="Q105" s="1"/>
      <x:c r="R105" s="1"/>
      <x:c r="S105" s="1"/>
      <x:c r="T105" s="1"/>
      <x:c r="U105" s="1"/>
      <x:c r="V105" s="1"/>
    </x:row>
    <x:row r="106" ht="15" customHeight="1">
      <x:c r="A106" s="5"/>
      <x:c r="B106" s="1"/>
      <x:c r="C106" s="6"/>
      <x:c r="D106" s="6"/>
      <x:c r="E106" s="7"/>
      <x:c r="F106" s="6"/>
      <x:c r="G106" s="6"/>
      <x:c r="H106" s="1"/>
      <x:c r="I106" s="1"/>
      <x:c r="J106" s="1"/>
      <x:c r="K106" s="1"/>
      <x:c r="L106" s="1"/>
      <x:c r="M106" s="1"/>
      <x:c r="N106" s="1"/>
      <x:c r="O106" s="1"/>
      <x:c r="P106" s="1"/>
      <x:c r="Q106" s="1"/>
      <x:c r="R106" s="1"/>
      <x:c r="S106" s="1"/>
      <x:c r="T106" s="1"/>
      <x:c r="U106" s="1"/>
      <x:c r="V106" s="1"/>
    </x:row>
    <x:row r="107" ht="15" customHeight="1">
      <x:c r="A107" s="5"/>
      <x:c r="B107" s="1"/>
      <x:c r="C107" s="6"/>
      <x:c r="D107" s="6"/>
      <x:c r="E107" s="7"/>
      <x:c r="F107" s="6"/>
      <x:c r="G107" s="6"/>
      <x:c r="H107" s="1"/>
      <x:c r="I107" s="1"/>
      <x:c r="J107" s="1"/>
      <x:c r="K107" s="1"/>
      <x:c r="L107" s="1"/>
      <x:c r="M107" s="1"/>
      <x:c r="N107" s="1"/>
      <x:c r="O107" s="1"/>
      <x:c r="P107" s="1"/>
      <x:c r="Q107" s="1"/>
      <x:c r="R107" s="1"/>
      <x:c r="S107" s="1"/>
      <x:c r="T107" s="1"/>
      <x:c r="U107" s="1"/>
      <x:c r="V107" s="1"/>
    </x:row>
    <x:row r="108" ht="15" customHeight="1">
      <x:c r="A108" s="5"/>
      <x:c r="B108" s="1"/>
      <x:c r="C108" s="6"/>
      <x:c r="D108" s="6"/>
      <x:c r="E108" s="7"/>
      <x:c r="F108" s="6"/>
      <x:c r="G108" s="6"/>
      <x:c r="H108" s="1"/>
      <x:c r="I108" s="1"/>
      <x:c r="J108" s="1"/>
      <x:c r="K108" s="1"/>
      <x:c r="L108" s="1"/>
      <x:c r="M108" s="1"/>
      <x:c r="N108" s="1"/>
      <x:c r="O108" s="1"/>
      <x:c r="P108" s="1"/>
      <x:c r="Q108" s="1"/>
      <x:c r="R108" s="1"/>
      <x:c r="S108" s="1"/>
      <x:c r="T108" s="1"/>
      <x:c r="U108" s="1"/>
      <x:c r="V108" s="1"/>
    </x:row>
    <x:row r="109" ht="15" customHeight="1">
      <x:c r="A109" s="5"/>
      <x:c r="B109" s="1"/>
      <x:c r="C109" s="6"/>
      <x:c r="D109" s="6"/>
      <x:c r="E109" s="7"/>
      <x:c r="F109" s="6"/>
      <x:c r="G109" s="6"/>
      <x:c r="H109" s="1"/>
      <x:c r="I109" s="1"/>
      <x:c r="J109" s="1"/>
      <x:c r="K109" s="1"/>
      <x:c r="L109" s="1"/>
      <x:c r="M109" s="1"/>
      <x:c r="N109" s="1"/>
      <x:c r="O109" s="1"/>
      <x:c r="P109" s="1"/>
      <x:c r="Q109" s="1"/>
      <x:c r="R109" s="1"/>
      <x:c r="S109" s="1"/>
      <x:c r="T109" s="1"/>
      <x:c r="U109" s="1"/>
      <x:c r="V109" s="1"/>
    </x:row>
    <x:row r="110" ht="15" customHeight="1">
      <x:c r="A110" s="5"/>
      <x:c r="B110" s="1"/>
      <x:c r="C110" s="6"/>
      <x:c r="D110" s="6"/>
      <x:c r="E110" s="7"/>
      <x:c r="F110" s="6"/>
      <x:c r="G110" s="6"/>
      <x:c r="H110" s="1"/>
      <x:c r="I110" s="1"/>
      <x:c r="J110" s="1"/>
      <x:c r="K110" s="1"/>
      <x:c r="L110" s="1"/>
      <x:c r="M110" s="1"/>
      <x:c r="N110" s="1"/>
      <x:c r="O110" s="1"/>
      <x:c r="P110" s="1"/>
      <x:c r="Q110" s="1"/>
      <x:c r="R110" s="1"/>
      <x:c r="S110" s="1"/>
      <x:c r="T110" s="1"/>
      <x:c r="U110" s="1"/>
      <x:c r="V110" s="1"/>
    </x:row>
    <x:row r="111" ht="15" customHeight="1">
      <x:c r="A111" s="5"/>
      <x:c r="B111" s="1"/>
      <x:c r="C111" s="6"/>
      <x:c r="D111" s="6"/>
      <x:c r="E111" s="7"/>
      <x:c r="F111" s="6"/>
      <x:c r="G111" s="6"/>
      <x:c r="H111" s="1"/>
      <x:c r="I111" s="1"/>
      <x:c r="J111" s="1"/>
      <x:c r="K111" s="1"/>
      <x:c r="L111" s="1"/>
      <x:c r="M111" s="1"/>
      <x:c r="N111" s="1"/>
      <x:c r="O111" s="1"/>
      <x:c r="P111" s="1"/>
      <x:c r="Q111" s="1"/>
      <x:c r="R111" s="1"/>
      <x:c r="S111" s="1"/>
      <x:c r="T111" s="1"/>
      <x:c r="U111" s="1"/>
      <x:c r="V111" s="1"/>
    </x:row>
    <x:row r="112" ht="15" customHeight="1">
      <x:c r="A112" s="5"/>
      <x:c r="B112" s="1"/>
      <x:c r="C112" s="6"/>
      <x:c r="D112" s="6"/>
      <x:c r="E112" s="7"/>
      <x:c r="F112" s="6"/>
      <x:c r="G112" s="6"/>
      <x:c r="H112" s="1"/>
      <x:c r="I112" s="1"/>
      <x:c r="J112" s="1"/>
      <x:c r="K112" s="1"/>
      <x:c r="L112" s="1"/>
      <x:c r="M112" s="1"/>
      <x:c r="N112" s="1"/>
      <x:c r="O112" s="1"/>
      <x:c r="P112" s="1"/>
      <x:c r="Q112" s="1"/>
      <x:c r="R112" s="1"/>
      <x:c r="S112" s="1"/>
      <x:c r="T112" s="1"/>
      <x:c r="U112" s="1"/>
      <x:c r="V112" s="1"/>
    </x:row>
    <x:row r="113" ht="15" customHeight="1">
      <x:c r="A113" s="5"/>
      <x:c r="B113" s="1"/>
      <x:c r="C113" s="6"/>
      <x:c r="D113" s="6"/>
      <x:c r="E113" s="7"/>
      <x:c r="F113" s="6"/>
      <x:c r="G113" s="6"/>
      <x:c r="H113" s="1"/>
      <x:c r="I113" s="1"/>
      <x:c r="J113" s="1"/>
      <x:c r="K113" s="1"/>
      <x:c r="L113" s="1"/>
      <x:c r="M113" s="1"/>
      <x:c r="N113" s="1"/>
      <x:c r="O113" s="1"/>
      <x:c r="P113" s="1"/>
      <x:c r="Q113" s="1"/>
      <x:c r="R113" s="1"/>
      <x:c r="S113" s="1"/>
      <x:c r="T113" s="1"/>
      <x:c r="U113" s="1"/>
      <x:c r="V113" s="1"/>
    </x:row>
    <x:row r="114" ht="15" customHeight="1">
      <x:c r="A114" s="5"/>
      <x:c r="B114" s="1"/>
      <x:c r="C114" s="6"/>
      <x:c r="D114" s="6"/>
      <x:c r="E114" s="7"/>
      <x:c r="F114" s="6"/>
      <x:c r="G114" s="6"/>
      <x:c r="H114" s="1"/>
      <x:c r="I114" s="1"/>
      <x:c r="J114" s="1"/>
      <x:c r="K114" s="1"/>
      <x:c r="L114" s="1"/>
      <x:c r="M114" s="1"/>
      <x:c r="N114" s="1"/>
      <x:c r="O114" s="1"/>
      <x:c r="P114" s="1"/>
      <x:c r="Q114" s="1"/>
      <x:c r="R114" s="1"/>
      <x:c r="S114" s="1"/>
      <x:c r="T114" s="1"/>
      <x:c r="U114" s="1"/>
      <x:c r="V114" s="1"/>
    </x:row>
    <x:row r="115" ht="15" customHeight="1">
      <x:c r="A115" s="5"/>
      <x:c r="B115" s="1"/>
      <x:c r="C115" s="6"/>
      <x:c r="D115" s="6"/>
      <x:c r="E115" s="7"/>
      <x:c r="F115" s="6"/>
      <x:c r="G115" s="6"/>
      <x:c r="H115" s="1"/>
      <x:c r="I115" s="1"/>
      <x:c r="J115" s="1"/>
      <x:c r="K115" s="1"/>
      <x:c r="L115" s="1"/>
      <x:c r="M115" s="1"/>
      <x:c r="N115" s="1"/>
      <x:c r="O115" s="1"/>
      <x:c r="P115" s="1"/>
      <x:c r="Q115" s="1"/>
      <x:c r="R115" s="1"/>
      <x:c r="S115" s="1"/>
      <x:c r="T115" s="1"/>
      <x:c r="U115" s="1"/>
      <x:c r="V115" s="1"/>
    </x:row>
    <x:row r="116" ht="15" customHeight="1">
      <x:c r="A116" s="5"/>
      <x:c r="B116" s="1"/>
      <x:c r="C116" s="6"/>
      <x:c r="D116" s="6"/>
      <x:c r="E116" s="7"/>
      <x:c r="F116" s="6"/>
      <x:c r="G116" s="6"/>
      <x:c r="H116" s="1"/>
      <x:c r="I116" s="1"/>
      <x:c r="J116" s="1"/>
      <x:c r="K116" s="1"/>
      <x:c r="L116" s="1"/>
      <x:c r="M116" s="1"/>
      <x:c r="N116" s="1"/>
      <x:c r="O116" s="1"/>
      <x:c r="P116" s="1"/>
      <x:c r="Q116" s="1"/>
      <x:c r="R116" s="1"/>
      <x:c r="S116" s="1"/>
      <x:c r="T116" s="1"/>
      <x:c r="U116" s="1"/>
      <x:c r="V116" s="1"/>
    </x:row>
    <x:row r="117" ht="15" customHeight="1">
      <x:c r="A117" s="5"/>
      <x:c r="B117" s="1"/>
      <x:c r="C117" s="6"/>
      <x:c r="D117" s="6"/>
      <x:c r="E117" s="7"/>
      <x:c r="F117" s="6"/>
      <x:c r="G117" s="6"/>
      <x:c r="H117" s="1"/>
      <x:c r="I117" s="1"/>
      <x:c r="J117" s="1"/>
      <x:c r="K117" s="1"/>
      <x:c r="L117" s="1"/>
      <x:c r="M117" s="1"/>
      <x:c r="N117" s="1"/>
      <x:c r="O117" s="1"/>
      <x:c r="P117" s="1"/>
      <x:c r="Q117" s="1"/>
      <x:c r="R117" s="1"/>
      <x:c r="S117" s="1"/>
      <x:c r="T117" s="1"/>
      <x:c r="U117" s="1"/>
      <x:c r="V117" s="1"/>
    </x:row>
    <x:row r="118" ht="15" customHeight="1">
      <x:c r="A118" s="5"/>
      <x:c r="B118" s="1"/>
      <x:c r="C118" s="6"/>
      <x:c r="D118" s="6"/>
      <x:c r="E118" s="7"/>
      <x:c r="F118" s="6"/>
      <x:c r="G118" s="6"/>
      <x:c r="H118" s="1"/>
      <x:c r="I118" s="1"/>
      <x:c r="J118" s="1"/>
      <x:c r="K118" s="1"/>
      <x:c r="L118" s="1"/>
      <x:c r="M118" s="1"/>
      <x:c r="N118" s="1"/>
      <x:c r="O118" s="1"/>
      <x:c r="P118" s="1"/>
      <x:c r="Q118" s="1"/>
      <x:c r="R118" s="1"/>
      <x:c r="S118" s="1"/>
      <x:c r="T118" s="1"/>
      <x:c r="U118" s="1"/>
      <x:c r="V118" s="1"/>
    </x:row>
    <x:row r="119" ht="15" customHeight="1">
      <x:c r="A119" s="5"/>
      <x:c r="B119" s="1"/>
      <x:c r="C119" s="6"/>
      <x:c r="D119" s="6"/>
      <x:c r="E119" s="7"/>
      <x:c r="F119" s="6"/>
      <x:c r="G119" s="6"/>
      <x:c r="H119" s="1"/>
      <x:c r="I119" s="1"/>
      <x:c r="J119" s="1"/>
      <x:c r="K119" s="1"/>
      <x:c r="L119" s="1"/>
      <x:c r="M119" s="1"/>
      <x:c r="N119" s="1"/>
      <x:c r="O119" s="1"/>
      <x:c r="P119" s="1"/>
      <x:c r="Q119" s="1"/>
      <x:c r="R119" s="1"/>
      <x:c r="S119" s="1"/>
      <x:c r="T119" s="1"/>
      <x:c r="U119" s="1"/>
      <x:c r="V119" s="1"/>
    </x:row>
    <x:row r="120" ht="15" customHeight="1">
      <x:c r="A120" s="5"/>
      <x:c r="B120" s="1"/>
      <x:c r="C120" s="6"/>
      <x:c r="D120" s="6"/>
      <x:c r="E120" s="7"/>
      <x:c r="F120" s="6"/>
      <x:c r="G120" s="6"/>
      <x:c r="H120" s="1"/>
      <x:c r="I120" s="1"/>
      <x:c r="J120" s="1"/>
      <x:c r="K120" s="1"/>
      <x:c r="L120" s="1"/>
      <x:c r="M120" s="1"/>
      <x:c r="N120" s="1"/>
      <x:c r="O120" s="1"/>
      <x:c r="P120" s="1"/>
      <x:c r="Q120" s="1"/>
      <x:c r="R120" s="1"/>
      <x:c r="S120" s="1"/>
      <x:c r="T120" s="1"/>
      <x:c r="U120" s="1"/>
      <x:c r="V120" s="1"/>
    </x:row>
    <x:row r="121" ht="15" customHeight="1">
      <x:c r="A121" s="5"/>
      <x:c r="B121" s="1"/>
      <x:c r="C121" s="6"/>
      <x:c r="D121" s="6"/>
      <x:c r="E121" s="7"/>
      <x:c r="F121" s="6"/>
      <x:c r="G121" s="6"/>
      <x:c r="H121" s="1"/>
      <x:c r="I121" s="1"/>
      <x:c r="J121" s="1"/>
      <x:c r="K121" s="1"/>
      <x:c r="L121" s="1"/>
      <x:c r="M121" s="1"/>
      <x:c r="N121" s="1"/>
      <x:c r="O121" s="1"/>
      <x:c r="P121" s="1"/>
      <x:c r="Q121" s="1"/>
      <x:c r="R121" s="1"/>
      <x:c r="S121" s="1"/>
      <x:c r="T121" s="1"/>
      <x:c r="U121" s="1"/>
      <x:c r="V121" s="1"/>
    </x:row>
    <x:row r="122" ht="15" customHeight="1">
      <x:c r="A122" s="5"/>
      <x:c r="B122" s="1"/>
      <x:c r="C122" s="6"/>
      <x:c r="D122" s="6"/>
      <x:c r="E122" s="7"/>
      <x:c r="F122" s="6"/>
      <x:c r="G122" s="6"/>
      <x:c r="H122" s="1"/>
      <x:c r="I122" s="1"/>
      <x:c r="J122" s="1"/>
      <x:c r="K122" s="1"/>
      <x:c r="L122" s="1"/>
      <x:c r="M122" s="1"/>
      <x:c r="N122" s="1"/>
      <x:c r="O122" s="1"/>
      <x:c r="P122" s="1"/>
      <x:c r="Q122" s="1"/>
      <x:c r="R122" s="1"/>
      <x:c r="S122" s="1"/>
      <x:c r="T122" s="1"/>
      <x:c r="U122" s="1"/>
      <x:c r="V122" s="1"/>
    </x:row>
    <x:row r="123" ht="15" customHeight="1">
      <x:c r="A123" s="5"/>
      <x:c r="B123" s="1"/>
      <x:c r="C123" s="6"/>
      <x:c r="D123" s="6"/>
      <x:c r="E123" s="7"/>
      <x:c r="F123" s="6"/>
      <x:c r="G123" s="6"/>
      <x:c r="H123" s="1"/>
      <x:c r="I123" s="1"/>
      <x:c r="J123" s="1"/>
      <x:c r="K123" s="1"/>
      <x:c r="L123" s="1"/>
      <x:c r="M123" s="1"/>
      <x:c r="N123" s="1"/>
      <x:c r="O123" s="1"/>
      <x:c r="P123" s="1"/>
      <x:c r="Q123" s="1"/>
      <x:c r="R123" s="1"/>
      <x:c r="S123" s="1"/>
      <x:c r="T123" s="1"/>
      <x:c r="U123" s="1"/>
      <x:c r="V123" s="1"/>
    </x:row>
    <x:row r="124" ht="15" customHeight="1">
      <x:c r="A124" s="5"/>
      <x:c r="B124" s="1"/>
      <x:c r="C124" s="6"/>
      <x:c r="D124" s="6"/>
      <x:c r="E124" s="7"/>
      <x:c r="F124" s="6"/>
      <x:c r="G124" s="6"/>
      <x:c r="H124" s="1"/>
      <x:c r="I124" s="1"/>
      <x:c r="J124" s="1"/>
      <x:c r="K124" s="1"/>
      <x:c r="L124" s="1"/>
      <x:c r="M124" s="1"/>
      <x:c r="N124" s="1"/>
      <x:c r="O124" s="1"/>
      <x:c r="P124" s="1"/>
      <x:c r="Q124" s="1"/>
      <x:c r="R124" s="1"/>
      <x:c r="S124" s="1"/>
      <x:c r="T124" s="1"/>
      <x:c r="U124" s="1"/>
      <x:c r="V124" s="1"/>
    </x:row>
    <x:row r="125" ht="15" customHeight="1">
      <x:c r="A125" s="5"/>
      <x:c r="B125" s="1"/>
      <x:c r="C125" s="6"/>
      <x:c r="D125" s="6"/>
      <x:c r="E125" s="7"/>
      <x:c r="F125" s="6"/>
      <x:c r="G125" s="6"/>
      <x:c r="H125" s="1"/>
      <x:c r="I125" s="1"/>
      <x:c r="J125" s="1"/>
      <x:c r="K125" s="1"/>
      <x:c r="L125" s="1"/>
      <x:c r="M125" s="1"/>
      <x:c r="N125" s="1"/>
      <x:c r="O125" s="1"/>
      <x:c r="P125" s="1"/>
      <x:c r="Q125" s="1"/>
      <x:c r="R125" s="1"/>
      <x:c r="S125" s="1"/>
      <x:c r="T125" s="1"/>
      <x:c r="U125" s="1"/>
      <x:c r="V125" s="1"/>
    </x:row>
    <x:row r="126" ht="15" customHeight="1">
      <x:c r="A126" s="5"/>
      <x:c r="B126" s="1"/>
      <x:c r="C126" s="6"/>
      <x:c r="D126" s="6"/>
      <x:c r="E126" s="7"/>
      <x:c r="F126" s="6"/>
      <x:c r="G126" s="6"/>
      <x:c r="H126" s="1"/>
      <x:c r="I126" s="1"/>
      <x:c r="J126" s="1"/>
      <x:c r="K126" s="1"/>
      <x:c r="L126" s="1"/>
      <x:c r="M126" s="1"/>
      <x:c r="N126" s="1"/>
      <x:c r="O126" s="1"/>
      <x:c r="P126" s="1"/>
      <x:c r="Q126" s="1"/>
      <x:c r="R126" s="1"/>
      <x:c r="S126" s="1"/>
      <x:c r="T126" s="1"/>
      <x:c r="U126" s="1"/>
      <x:c r="V126" s="1"/>
    </x:row>
    <x:row r="127" ht="15" customHeight="1">
      <x:c r="A127" s="5"/>
      <x:c r="B127" s="1"/>
      <x:c r="C127" s="6"/>
      <x:c r="D127" s="6"/>
      <x:c r="E127" s="7"/>
      <x:c r="F127" s="6"/>
      <x:c r="G127" s="6"/>
      <x:c r="H127" s="1"/>
      <x:c r="I127" s="1"/>
      <x:c r="J127" s="1"/>
      <x:c r="K127" s="1"/>
      <x:c r="L127" s="1"/>
      <x:c r="M127" s="1"/>
      <x:c r="N127" s="1"/>
      <x:c r="O127" s="1"/>
      <x:c r="P127" s="1"/>
      <x:c r="Q127" s="1"/>
      <x:c r="R127" s="1"/>
      <x:c r="S127" s="1"/>
      <x:c r="T127" s="1"/>
      <x:c r="U127" s="1"/>
      <x:c r="V127" s="1"/>
    </x:row>
    <x:row r="128" ht="15" customHeight="1">
      <x:c r="A128" s="5"/>
      <x:c r="B128" s="1"/>
      <x:c r="C128" s="6"/>
      <x:c r="D128" s="6"/>
      <x:c r="E128" s="7"/>
      <x:c r="F128" s="6"/>
      <x:c r="G128" s="6"/>
      <x:c r="H128" s="1"/>
      <x:c r="I128" s="1"/>
      <x:c r="J128" s="1"/>
      <x:c r="K128" s="1"/>
      <x:c r="L128" s="1"/>
      <x:c r="M128" s="1"/>
      <x:c r="N128" s="1"/>
      <x:c r="O128" s="1"/>
      <x:c r="P128" s="1"/>
      <x:c r="Q128" s="1"/>
      <x:c r="R128" s="1"/>
      <x:c r="S128" s="1"/>
      <x:c r="T128" s="1"/>
      <x:c r="U128" s="1"/>
      <x:c r="V128" s="1"/>
    </x:row>
    <x:row r="129" ht="15" customHeight="1">
      <x:c r="A129" s="5"/>
      <x:c r="B129" s="1"/>
      <x:c r="C129" s="6"/>
      <x:c r="D129" s="6"/>
      <x:c r="E129" s="7"/>
      <x:c r="F129" s="6"/>
      <x:c r="G129" s="6"/>
      <x:c r="H129" s="1"/>
      <x:c r="I129" s="1"/>
      <x:c r="J129" s="1"/>
      <x:c r="K129" s="1"/>
      <x:c r="L129" s="1"/>
      <x:c r="M129" s="1"/>
      <x:c r="N129" s="1"/>
      <x:c r="O129" s="1"/>
      <x:c r="P129" s="1"/>
      <x:c r="Q129" s="1"/>
      <x:c r="R129" s="1"/>
      <x:c r="S129" s="1"/>
      <x:c r="T129" s="1"/>
      <x:c r="U129" s="1"/>
      <x:c r="V129" s="1"/>
    </x:row>
    <x:row r="130" ht="15" customHeight="1">
      <x:c r="A130" s="5"/>
      <x:c r="B130" s="1"/>
      <x:c r="C130" s="6"/>
      <x:c r="D130" s="6"/>
      <x:c r="E130" s="7"/>
      <x:c r="F130" s="6"/>
      <x:c r="G130" s="6"/>
      <x:c r="H130" s="1"/>
      <x:c r="I130" s="1"/>
      <x:c r="J130" s="1"/>
      <x:c r="K130" s="1"/>
      <x:c r="L130" s="1"/>
      <x:c r="M130" s="1"/>
      <x:c r="N130" s="1"/>
      <x:c r="O130" s="1"/>
      <x:c r="P130" s="1"/>
      <x:c r="Q130" s="1"/>
      <x:c r="R130" s="1"/>
      <x:c r="S130" s="1"/>
      <x:c r="T130" s="1"/>
      <x:c r="U130" s="1"/>
      <x:c r="V130" s="1"/>
    </x:row>
    <x:row r="131" ht="15" customHeight="1">
      <x:c r="A131" s="5"/>
      <x:c r="B131" s="1"/>
      <x:c r="C131" s="6"/>
      <x:c r="D131" s="6"/>
      <x:c r="E131" s="7"/>
      <x:c r="F131" s="6"/>
      <x:c r="G131" s="6"/>
      <x:c r="H131" s="1"/>
      <x:c r="I131" s="1"/>
      <x:c r="J131" s="1"/>
      <x:c r="K131" s="1"/>
      <x:c r="L131" s="1"/>
      <x:c r="M131" s="1"/>
      <x:c r="N131" s="1"/>
      <x:c r="O131" s="1"/>
      <x:c r="P131" s="1"/>
      <x:c r="Q131" s="1"/>
      <x:c r="R131" s="1"/>
      <x:c r="S131" s="1"/>
      <x:c r="T131" s="1"/>
      <x:c r="U131" s="1"/>
      <x:c r="V131" s="1"/>
    </x:row>
    <x:row r="132" ht="15" customHeight="1">
      <x:c r="A132" s="5"/>
      <x:c r="B132" s="1"/>
      <x:c r="C132" s="6"/>
      <x:c r="D132" s="6"/>
      <x:c r="E132" s="7"/>
      <x:c r="F132" s="6"/>
      <x:c r="G132" s="6"/>
      <x:c r="H132" s="1"/>
      <x:c r="I132" s="1"/>
      <x:c r="J132" s="1"/>
      <x:c r="K132" s="1"/>
      <x:c r="L132" s="1"/>
      <x:c r="M132" s="1"/>
      <x:c r="N132" s="1"/>
      <x:c r="O132" s="1"/>
      <x:c r="P132" s="1"/>
      <x:c r="Q132" s="1"/>
      <x:c r="R132" s="1"/>
      <x:c r="S132" s="1"/>
      <x:c r="T132" s="1"/>
      <x:c r="U132" s="1"/>
      <x:c r="V132" s="1"/>
    </x:row>
    <x:row r="133" ht="15" customHeight="1">
      <x:c r="A133" s="5"/>
      <x:c r="B133" s="1"/>
      <x:c r="C133" s="6"/>
      <x:c r="D133" s="6"/>
      <x:c r="E133" s="7"/>
      <x:c r="F133" s="6"/>
      <x:c r="G133" s="6"/>
      <x:c r="H133" s="1"/>
      <x:c r="I133" s="1"/>
      <x:c r="J133" s="1"/>
      <x:c r="K133" s="1"/>
      <x:c r="L133" s="1"/>
      <x:c r="M133" s="1"/>
      <x:c r="N133" s="1"/>
      <x:c r="O133" s="1"/>
      <x:c r="P133" s="1"/>
      <x:c r="Q133" s="1"/>
      <x:c r="R133" s="1"/>
      <x:c r="S133" s="1"/>
      <x:c r="T133" s="1"/>
      <x:c r="U133" s="1"/>
      <x:c r="V133" s="1"/>
    </x:row>
    <x:row r="134" ht="15" customHeight="1">
      <x:c r="A134" s="5"/>
      <x:c r="B134" s="1"/>
      <x:c r="C134" s="6"/>
      <x:c r="D134" s="6"/>
      <x:c r="E134" s="7"/>
      <x:c r="F134" s="6"/>
      <x:c r="G134" s="6"/>
      <x:c r="H134" s="1"/>
      <x:c r="I134" s="1"/>
      <x:c r="J134" s="1"/>
      <x:c r="K134" s="1"/>
      <x:c r="L134" s="1"/>
      <x:c r="M134" s="1"/>
      <x:c r="N134" s="1"/>
      <x:c r="O134" s="1"/>
      <x:c r="P134" s="1"/>
      <x:c r="Q134" s="1"/>
      <x:c r="R134" s="1"/>
      <x:c r="S134" s="1"/>
      <x:c r="T134" s="1"/>
      <x:c r="U134" s="1"/>
      <x:c r="V134" s="1"/>
    </x:row>
    <x:row r="135" ht="15" customHeight="1">
      <x:c r="A135" s="5"/>
      <x:c r="B135" s="1"/>
      <x:c r="C135" s="6"/>
      <x:c r="D135" s="6"/>
      <x:c r="E135" s="7"/>
      <x:c r="F135" s="6"/>
      <x:c r="G135" s="6"/>
      <x:c r="H135" s="1"/>
      <x:c r="I135" s="1"/>
      <x:c r="J135" s="1"/>
      <x:c r="K135" s="1"/>
      <x:c r="L135" s="1"/>
      <x:c r="M135" s="1"/>
      <x:c r="N135" s="1"/>
      <x:c r="O135" s="1"/>
      <x:c r="P135" s="1"/>
      <x:c r="Q135" s="1"/>
      <x:c r="R135" s="1"/>
      <x:c r="S135" s="1"/>
      <x:c r="T135" s="1"/>
      <x:c r="U135" s="1"/>
      <x:c r="V135" s="1"/>
    </x:row>
    <x:row r="136" ht="15" customHeight="1">
      <x:c r="A136" s="5"/>
      <x:c r="B136" s="1"/>
      <x:c r="C136" s="6"/>
      <x:c r="D136" s="6"/>
      <x:c r="E136" s="7"/>
      <x:c r="F136" s="6"/>
      <x:c r="G136" s="6"/>
      <x:c r="H136" s="1"/>
      <x:c r="I136" s="1"/>
      <x:c r="J136" s="1"/>
      <x:c r="K136" s="1"/>
      <x:c r="L136" s="1"/>
      <x:c r="M136" s="1"/>
      <x:c r="N136" s="1"/>
      <x:c r="O136" s="1"/>
      <x:c r="P136" s="1"/>
      <x:c r="Q136" s="1"/>
      <x:c r="R136" s="1"/>
      <x:c r="S136" s="1"/>
      <x:c r="T136" s="1"/>
      <x:c r="U136" s="1"/>
      <x:c r="V136" s="1"/>
    </x:row>
    <x:row r="137" ht="15" customHeight="1">
      <x:c r="A137" s="5"/>
      <x:c r="B137" s="1"/>
      <x:c r="C137" s="6"/>
      <x:c r="D137" s="6"/>
      <x:c r="E137" s="7"/>
      <x:c r="F137" s="6"/>
      <x:c r="G137" s="6"/>
      <x:c r="H137" s="1"/>
      <x:c r="I137" s="1"/>
      <x:c r="J137" s="1"/>
      <x:c r="K137" s="1"/>
      <x:c r="L137" s="1"/>
      <x:c r="M137" s="1"/>
      <x:c r="N137" s="1"/>
      <x:c r="O137" s="1"/>
      <x:c r="P137" s="1"/>
      <x:c r="Q137" s="1"/>
      <x:c r="R137" s="1"/>
      <x:c r="S137" s="1"/>
      <x:c r="T137" s="1"/>
      <x:c r="U137" s="1"/>
      <x:c r="V137" s="1"/>
    </x:row>
    <x:row r="138" ht="15" customHeight="1">
      <x:c r="A138" s="5"/>
      <x:c r="B138" s="1"/>
      <x:c r="C138" s="6"/>
      <x:c r="D138" s="6"/>
      <x:c r="E138" s="7"/>
      <x:c r="F138" s="6"/>
      <x:c r="G138" s="6"/>
      <x:c r="H138" s="1"/>
      <x:c r="I138" s="1"/>
      <x:c r="J138" s="1"/>
      <x:c r="K138" s="1"/>
      <x:c r="L138" s="1"/>
      <x:c r="M138" s="1"/>
      <x:c r="N138" s="1"/>
      <x:c r="O138" s="1"/>
      <x:c r="P138" s="1"/>
      <x:c r="Q138" s="1"/>
      <x:c r="R138" s="1"/>
      <x:c r="S138" s="1"/>
      <x:c r="T138" s="1"/>
      <x:c r="U138" s="1"/>
      <x:c r="V138" s="1"/>
    </x:row>
    <x:row r="139" ht="15" customHeight="1">
      <x:c r="A139" s="5"/>
      <x:c r="B139" s="1"/>
      <x:c r="C139" s="6"/>
      <x:c r="D139" s="6"/>
      <x:c r="E139" s="7"/>
      <x:c r="F139" s="6"/>
      <x:c r="G139" s="6"/>
      <x:c r="H139" s="1"/>
      <x:c r="I139" s="1"/>
      <x:c r="J139" s="1"/>
      <x:c r="K139" s="1"/>
      <x:c r="L139" s="1"/>
      <x:c r="M139" s="1"/>
      <x:c r="N139" s="1"/>
      <x:c r="O139" s="1"/>
      <x:c r="P139" s="1"/>
      <x:c r="Q139" s="1"/>
      <x:c r="R139" s="1"/>
      <x:c r="S139" s="1"/>
      <x:c r="T139" s="1"/>
      <x:c r="U139" s="1"/>
      <x:c r="V139" s="1"/>
    </x:row>
    <x:row r="140" ht="15" customHeight="1">
      <x:c r="A140" s="5"/>
      <x:c r="B140" s="1"/>
      <x:c r="C140" s="6"/>
      <x:c r="D140" s="6"/>
      <x:c r="E140" s="7"/>
      <x:c r="F140" s="6"/>
      <x:c r="G140" s="6"/>
      <x:c r="H140" s="1"/>
      <x:c r="I140" s="1"/>
      <x:c r="J140" s="1"/>
      <x:c r="K140" s="1"/>
      <x:c r="L140" s="1"/>
      <x:c r="M140" s="1"/>
      <x:c r="N140" s="1"/>
      <x:c r="O140" s="1"/>
      <x:c r="P140" s="1"/>
      <x:c r="Q140" s="1"/>
      <x:c r="R140" s="1"/>
      <x:c r="S140" s="1"/>
      <x:c r="T140" s="1"/>
      <x:c r="U140" s="1"/>
      <x:c r="V140" s="1"/>
    </x:row>
    <x:row r="141" ht="15" customHeight="1">
      <x:c r="A141" s="5"/>
      <x:c r="B141" s="1"/>
      <x:c r="C141" s="6"/>
      <x:c r="D141" s="6"/>
      <x:c r="E141" s="7"/>
      <x:c r="F141" s="6"/>
      <x:c r="G141" s="6"/>
      <x:c r="H141" s="1"/>
      <x:c r="I141" s="1"/>
      <x:c r="J141" s="1"/>
      <x:c r="K141" s="1"/>
      <x:c r="L141" s="1"/>
      <x:c r="M141" s="1"/>
      <x:c r="N141" s="1"/>
      <x:c r="O141" s="1"/>
      <x:c r="P141" s="1"/>
      <x:c r="Q141" s="1"/>
      <x:c r="R141" s="1"/>
      <x:c r="S141" s="1"/>
      <x:c r="T141" s="1"/>
      <x:c r="U141" s="1"/>
      <x:c r="V141" s="1"/>
    </x:row>
    <x:row r="142" ht="15" customHeight="1">
      <x:c r="A142" s="5"/>
      <x:c r="B142" s="1"/>
      <x:c r="C142" s="6"/>
      <x:c r="D142" s="6"/>
      <x:c r="E142" s="7"/>
      <x:c r="F142" s="6"/>
      <x:c r="G142" s="6"/>
      <x:c r="H142" s="1"/>
      <x:c r="I142" s="1"/>
      <x:c r="J142" s="1"/>
      <x:c r="K142" s="1"/>
      <x:c r="L142" s="1"/>
      <x:c r="M142" s="1"/>
      <x:c r="N142" s="1"/>
      <x:c r="O142" s="1"/>
      <x:c r="P142" s="1"/>
      <x:c r="Q142" s="1"/>
      <x:c r="R142" s="1"/>
      <x:c r="S142" s="1"/>
      <x:c r="T142" s="1"/>
      <x:c r="U142" s="1"/>
      <x:c r="V142" s="1"/>
    </x:row>
    <x:row r="143" ht="15" customHeight="1">
      <x:c r="A143" s="5"/>
      <x:c r="B143" s="1"/>
      <x:c r="C143" s="6"/>
      <x:c r="D143" s="6"/>
      <x:c r="E143" s="7"/>
      <x:c r="F143" s="6"/>
      <x:c r="G143" s="6"/>
      <x:c r="H143" s="1"/>
      <x:c r="I143" s="1"/>
      <x:c r="J143" s="1"/>
      <x:c r="K143" s="1"/>
      <x:c r="L143" s="1"/>
      <x:c r="M143" s="1"/>
      <x:c r="N143" s="1"/>
      <x:c r="O143" s="1"/>
      <x:c r="P143" s="1"/>
      <x:c r="Q143" s="1"/>
      <x:c r="R143" s="1"/>
      <x:c r="S143" s="1"/>
      <x:c r="T143" s="1"/>
      <x:c r="U143" s="1"/>
      <x:c r="V143" s="1"/>
    </x:row>
    <x:row r="144" ht="15" customHeight="1">
      <x:c r="A144" s="5"/>
      <x:c r="B144" s="1"/>
      <x:c r="C144" s="6"/>
      <x:c r="D144" s="6"/>
      <x:c r="E144" s="7"/>
      <x:c r="F144" s="6"/>
      <x:c r="G144" s="6"/>
      <x:c r="H144" s="1"/>
      <x:c r="I144" s="1"/>
      <x:c r="J144" s="1"/>
      <x:c r="K144" s="1"/>
      <x:c r="L144" s="1"/>
      <x:c r="M144" s="1"/>
      <x:c r="N144" s="1"/>
      <x:c r="O144" s="1"/>
      <x:c r="P144" s="1"/>
      <x:c r="Q144" s="1"/>
      <x:c r="R144" s="1"/>
      <x:c r="S144" s="1"/>
      <x:c r="T144" s="1"/>
      <x:c r="U144" s="1"/>
      <x:c r="V144" s="1"/>
    </x:row>
    <x:row r="145" ht="15" customHeight="1">
      <x:c r="A145" s="5"/>
      <x:c r="B145" s="1"/>
      <x:c r="C145" s="6"/>
      <x:c r="D145" s="6"/>
      <x:c r="E145" s="7"/>
      <x:c r="F145" s="6"/>
      <x:c r="G145" s="6"/>
      <x:c r="H145" s="1"/>
      <x:c r="I145" s="1"/>
      <x:c r="J145" s="1"/>
      <x:c r="K145" s="1"/>
      <x:c r="L145" s="1"/>
      <x:c r="M145" s="1"/>
      <x:c r="N145" s="1"/>
      <x:c r="O145" s="1"/>
      <x:c r="P145" s="1"/>
      <x:c r="Q145" s="1"/>
      <x:c r="R145" s="1"/>
      <x:c r="S145" s="1"/>
      <x:c r="T145" s="1"/>
      <x:c r="U145" s="1"/>
      <x:c r="V145" s="1"/>
    </x:row>
    <x:row r="146" ht="15" customHeight="1">
      <x:c r="A146" s="5"/>
      <x:c r="B146" s="1"/>
      <x:c r="C146" s="6"/>
      <x:c r="D146" s="6"/>
      <x:c r="E146" s="7"/>
      <x:c r="F146" s="6"/>
      <x:c r="G146" s="6"/>
      <x:c r="H146" s="1"/>
      <x:c r="I146" s="1"/>
      <x:c r="J146" s="1"/>
      <x:c r="K146" s="1"/>
      <x:c r="L146" s="1"/>
      <x:c r="M146" s="1"/>
      <x:c r="N146" s="1"/>
      <x:c r="O146" s="1"/>
      <x:c r="P146" s="1"/>
      <x:c r="Q146" s="1"/>
      <x:c r="R146" s="1"/>
      <x:c r="S146" s="1"/>
      <x:c r="T146" s="1"/>
      <x:c r="U146" s="1"/>
      <x:c r="V146" s="1"/>
    </x:row>
    <x:row r="147" ht="15" customHeight="1">
      <x:c r="A147" s="5"/>
      <x:c r="B147" s="1"/>
      <x:c r="C147" s="6"/>
      <x:c r="D147" s="6"/>
      <x:c r="E147" s="7"/>
      <x:c r="F147" s="6"/>
      <x:c r="G147" s="6"/>
      <x:c r="H147" s="1"/>
      <x:c r="I147" s="1"/>
      <x:c r="J147" s="1"/>
      <x:c r="K147" s="1"/>
      <x:c r="L147" s="1"/>
      <x:c r="M147" s="1"/>
      <x:c r="N147" s="1"/>
      <x:c r="O147" s="1"/>
      <x:c r="P147" s="1"/>
      <x:c r="Q147" s="1"/>
      <x:c r="R147" s="1"/>
      <x:c r="S147" s="1"/>
      <x:c r="T147" s="1"/>
      <x:c r="U147" s="1"/>
      <x:c r="V147" s="1"/>
    </x:row>
    <x:row r="148" ht="15" customHeight="1">
      <x:c r="A148" s="5"/>
      <x:c r="B148" s="1"/>
      <x:c r="C148" s="6"/>
      <x:c r="D148" s="6"/>
      <x:c r="E148" s="7"/>
      <x:c r="F148" s="6"/>
      <x:c r="G148" s="6"/>
      <x:c r="H148" s="1"/>
      <x:c r="I148" s="1"/>
      <x:c r="J148" s="1"/>
      <x:c r="K148" s="1"/>
      <x:c r="L148" s="1"/>
      <x:c r="M148" s="1"/>
      <x:c r="N148" s="1"/>
      <x:c r="O148" s="1"/>
      <x:c r="P148" s="1"/>
      <x:c r="Q148" s="1"/>
      <x:c r="R148" s="1"/>
      <x:c r="S148" s="1"/>
      <x:c r="T148" s="1"/>
      <x:c r="U148" s="1"/>
      <x:c r="V148" s="1"/>
    </x:row>
    <x:row r="149" ht="15" customHeight="1">
      <x:c r="A149" s="5"/>
      <x:c r="B149" s="1"/>
      <x:c r="C149" s="6"/>
      <x:c r="D149" s="6"/>
      <x:c r="E149" s="7"/>
      <x:c r="F149" s="6"/>
      <x:c r="G149" s="6"/>
      <x:c r="H149" s="1"/>
      <x:c r="I149" s="1"/>
      <x:c r="J149" s="1"/>
      <x:c r="K149" s="1"/>
      <x:c r="L149" s="1"/>
      <x:c r="M149" s="1"/>
      <x:c r="N149" s="1"/>
      <x:c r="O149" s="1"/>
      <x:c r="P149" s="1"/>
      <x:c r="Q149" s="1"/>
      <x:c r="R149" s="1"/>
      <x:c r="S149" s="1"/>
      <x:c r="T149" s="1"/>
      <x:c r="U149" s="1"/>
      <x:c r="V149" s="1"/>
    </x:row>
    <x:row r="150" ht="15" customHeight="1">
      <x:c r="A150" s="5"/>
      <x:c r="B150" s="1"/>
      <x:c r="C150" s="6"/>
      <x:c r="D150" s="6"/>
      <x:c r="E150" s="7"/>
      <x:c r="F150" s="6"/>
      <x:c r="G150" s="6"/>
      <x:c r="H150" s="1"/>
      <x:c r="I150" s="1"/>
      <x:c r="J150" s="1"/>
      <x:c r="K150" s="1"/>
      <x:c r="L150" s="1"/>
      <x:c r="M150" s="1"/>
      <x:c r="N150" s="1"/>
      <x:c r="O150" s="1"/>
      <x:c r="P150" s="1"/>
      <x:c r="Q150" s="1"/>
      <x:c r="R150" s="1"/>
      <x:c r="S150" s="1"/>
      <x:c r="T150" s="1"/>
      <x:c r="U150" s="1"/>
      <x:c r="V150" s="1"/>
    </x:row>
    <x:row r="151" ht="15" customHeight="1">
      <x:c r="A151" s="5"/>
      <x:c r="B151" s="1"/>
      <x:c r="C151" s="6"/>
      <x:c r="D151" s="6"/>
      <x:c r="E151" s="7"/>
      <x:c r="F151" s="6"/>
      <x:c r="G151" s="6"/>
      <x:c r="H151" s="1"/>
      <x:c r="I151" s="1"/>
      <x:c r="J151" s="1"/>
      <x:c r="K151" s="1"/>
      <x:c r="L151" s="1"/>
      <x:c r="M151" s="1"/>
      <x:c r="N151" s="1"/>
      <x:c r="O151" s="1"/>
      <x:c r="P151" s="1"/>
      <x:c r="Q151" s="1"/>
      <x:c r="R151" s="1"/>
      <x:c r="S151" s="1"/>
      <x:c r="T151" s="1"/>
      <x:c r="U151" s="1"/>
      <x:c r="V151" s="1"/>
    </x:row>
    <x:row r="152" ht="15" customHeight="1">
      <x:c r="A152" s="5"/>
      <x:c r="B152" s="1"/>
      <x:c r="C152" s="6"/>
      <x:c r="D152" s="6"/>
      <x:c r="E152" s="7"/>
      <x:c r="F152" s="6"/>
      <x:c r="G152" s="6"/>
      <x:c r="H152" s="1"/>
      <x:c r="I152" s="1"/>
      <x:c r="J152" s="1"/>
      <x:c r="K152" s="1"/>
      <x:c r="L152" s="1"/>
      <x:c r="M152" s="1"/>
      <x:c r="N152" s="1"/>
      <x:c r="O152" s="1"/>
      <x:c r="P152" s="1"/>
      <x:c r="Q152" s="1"/>
      <x:c r="R152" s="1"/>
      <x:c r="S152" s="1"/>
      <x:c r="T152" s="1"/>
      <x:c r="U152" s="1"/>
      <x:c r="V152" s="1"/>
    </x:row>
    <x:row r="153" ht="15" customHeight="1">
      <x:c r="A153" s="5"/>
      <x:c r="B153" s="1"/>
      <x:c r="C153" s="6"/>
      <x:c r="D153" s="6"/>
      <x:c r="E153" s="7"/>
      <x:c r="F153" s="6"/>
      <x:c r="G153" s="6"/>
      <x:c r="H153" s="1"/>
      <x:c r="I153" s="1"/>
      <x:c r="J153" s="1"/>
      <x:c r="K153" s="1"/>
      <x:c r="L153" s="1"/>
      <x:c r="M153" s="1"/>
      <x:c r="N153" s="1"/>
      <x:c r="O153" s="1"/>
      <x:c r="P153" s="1"/>
      <x:c r="Q153" s="1"/>
      <x:c r="R153" s="1"/>
      <x:c r="S153" s="1"/>
      <x:c r="T153" s="1"/>
      <x:c r="U153" s="1"/>
      <x:c r="V153" s="1"/>
    </x:row>
    <x:row r="154" ht="15" customHeight="1">
      <x:c r="A154" s="5"/>
      <x:c r="B154" s="1"/>
      <x:c r="C154" s="6"/>
      <x:c r="D154" s="6"/>
      <x:c r="E154" s="7"/>
      <x:c r="F154" s="6"/>
      <x:c r="G154" s="6"/>
      <x:c r="H154" s="1"/>
      <x:c r="I154" s="1"/>
      <x:c r="J154" s="1"/>
      <x:c r="K154" s="1"/>
      <x:c r="L154" s="1"/>
      <x:c r="M154" s="1"/>
      <x:c r="N154" s="1"/>
      <x:c r="O154" s="1"/>
      <x:c r="P154" s="1"/>
      <x:c r="Q154" s="1"/>
      <x:c r="R154" s="1"/>
      <x:c r="S154" s="1"/>
      <x:c r="T154" s="1"/>
      <x:c r="U154" s="1"/>
      <x:c r="V154" s="1"/>
    </x:row>
    <x:row r="155" ht="15" customHeight="1">
      <x:c r="A155" s="5"/>
      <x:c r="B155" s="1"/>
      <x:c r="C155" s="6"/>
      <x:c r="D155" s="6"/>
      <x:c r="E155" s="7"/>
      <x:c r="F155" s="6"/>
      <x:c r="G155" s="6"/>
      <x:c r="H155" s="1"/>
      <x:c r="I155" s="1"/>
      <x:c r="J155" s="1"/>
      <x:c r="K155" s="1"/>
      <x:c r="L155" s="1"/>
      <x:c r="M155" s="1"/>
      <x:c r="N155" s="1"/>
      <x:c r="O155" s="1"/>
      <x:c r="P155" s="1"/>
      <x:c r="Q155" s="1"/>
      <x:c r="R155" s="1"/>
      <x:c r="S155" s="1"/>
      <x:c r="T155" s="1"/>
      <x:c r="U155" s="1"/>
      <x:c r="V155" s="1"/>
    </x:row>
    <x:row r="156" ht="15" customHeight="1">
      <x:c r="A156" s="5"/>
      <x:c r="B156" s="1"/>
      <x:c r="C156" s="6"/>
      <x:c r="D156" s="6"/>
      <x:c r="E156" s="7"/>
      <x:c r="F156" s="6"/>
      <x:c r="G156" s="6"/>
      <x:c r="H156" s="1"/>
      <x:c r="I156" s="1"/>
      <x:c r="J156" s="1"/>
      <x:c r="K156" s="1"/>
      <x:c r="L156" s="1"/>
      <x:c r="M156" s="1"/>
      <x:c r="N156" s="1"/>
      <x:c r="O156" s="1"/>
      <x:c r="P156" s="1"/>
      <x:c r="Q156" s="1"/>
      <x:c r="R156" s="1"/>
      <x:c r="S156" s="1"/>
      <x:c r="T156" s="1"/>
      <x:c r="U156" s="1"/>
      <x:c r="V156" s="1"/>
    </x:row>
    <x:row r="157" ht="15" customHeight="1">
      <x:c r="A157" s="5"/>
      <x:c r="B157" s="1"/>
      <x:c r="C157" s="6"/>
      <x:c r="D157" s="6"/>
      <x:c r="E157" s="7"/>
      <x:c r="F157" s="6"/>
      <x:c r="G157" s="6"/>
      <x:c r="H157" s="1"/>
      <x:c r="I157" s="1"/>
      <x:c r="J157" s="1"/>
      <x:c r="K157" s="1"/>
      <x:c r="L157" s="1"/>
      <x:c r="M157" s="1"/>
      <x:c r="N157" s="1"/>
      <x:c r="O157" s="1"/>
      <x:c r="P157" s="1"/>
      <x:c r="Q157" s="1"/>
      <x:c r="R157" s="1"/>
      <x:c r="S157" s="1"/>
      <x:c r="T157" s="1"/>
      <x:c r="U157" s="1"/>
      <x:c r="V157" s="1"/>
    </x:row>
    <x:row r="158" ht="15" customHeight="1">
      <x:c r="A158" s="5"/>
      <x:c r="B158" s="1"/>
      <x:c r="C158" s="6"/>
      <x:c r="D158" s="6"/>
      <x:c r="E158" s="7"/>
      <x:c r="F158" s="6"/>
      <x:c r="G158" s="6"/>
      <x:c r="H158" s="1"/>
      <x:c r="I158" s="1"/>
      <x:c r="J158" s="1"/>
      <x:c r="K158" s="1"/>
      <x:c r="L158" s="1"/>
      <x:c r="M158" s="1"/>
      <x:c r="N158" s="1"/>
      <x:c r="O158" s="1"/>
      <x:c r="P158" s="1"/>
      <x:c r="Q158" s="1"/>
      <x:c r="R158" s="1"/>
      <x:c r="S158" s="1"/>
      <x:c r="T158" s="1"/>
      <x:c r="U158" s="1"/>
      <x:c r="V158" s="1"/>
    </x:row>
    <x:row r="159" ht="15" customHeight="1">
      <x:c r="A159" s="5"/>
      <x:c r="B159" s="1"/>
      <x:c r="C159" s="6"/>
      <x:c r="D159" s="6"/>
      <x:c r="E159" s="7"/>
      <x:c r="F159" s="6"/>
      <x:c r="G159" s="6"/>
      <x:c r="H159" s="1"/>
      <x:c r="I159" s="1"/>
      <x:c r="J159" s="1"/>
      <x:c r="K159" s="1"/>
      <x:c r="L159" s="1"/>
      <x:c r="M159" s="1"/>
      <x:c r="N159" s="1"/>
      <x:c r="O159" s="1"/>
      <x:c r="P159" s="1"/>
      <x:c r="Q159" s="1"/>
      <x:c r="R159" s="1"/>
      <x:c r="S159" s="1"/>
      <x:c r="T159" s="1"/>
      <x:c r="U159" s="1"/>
      <x:c r="V159" s="1"/>
    </x:row>
    <x:row r="160" ht="15" customHeight="1">
      <x:c r="A160" s="5"/>
      <x:c r="B160" s="1"/>
      <x:c r="C160" s="6"/>
      <x:c r="D160" s="6"/>
      <x:c r="E160" s="7"/>
      <x:c r="F160" s="6"/>
      <x:c r="G160" s="6"/>
      <x:c r="H160" s="1"/>
      <x:c r="I160" s="1"/>
      <x:c r="J160" s="1"/>
      <x:c r="K160" s="1"/>
      <x:c r="L160" s="1"/>
      <x:c r="M160" s="1"/>
      <x:c r="N160" s="1"/>
      <x:c r="O160" s="1"/>
      <x:c r="P160" s="1"/>
      <x:c r="Q160" s="1"/>
      <x:c r="R160" s="1"/>
      <x:c r="S160" s="1"/>
      <x:c r="T160" s="1"/>
      <x:c r="U160" s="1"/>
      <x:c r="V160" s="1"/>
    </x:row>
    <x:row r="161" ht="15" customHeight="1">
      <x:c r="A161" s="5"/>
      <x:c r="B161" s="1"/>
      <x:c r="C161" s="6"/>
      <x:c r="D161" s="6"/>
      <x:c r="E161" s="7"/>
      <x:c r="F161" s="6"/>
      <x:c r="G161" s="6"/>
      <x:c r="H161" s="1"/>
      <x:c r="I161" s="1"/>
      <x:c r="J161" s="1"/>
      <x:c r="K161" s="1"/>
      <x:c r="L161" s="1"/>
      <x:c r="M161" s="1"/>
      <x:c r="N161" s="1"/>
      <x:c r="O161" s="1"/>
      <x:c r="P161" s="1"/>
      <x:c r="Q161" s="1"/>
      <x:c r="R161" s="1"/>
      <x:c r="S161" s="1"/>
      <x:c r="T161" s="1"/>
      <x:c r="U161" s="1"/>
      <x:c r="V161" s="1"/>
    </x:row>
    <x:row r="162" ht="15" customHeight="1">
      <x:c r="A162" s="5"/>
      <x:c r="B162" s="1"/>
      <x:c r="C162" s="6"/>
      <x:c r="D162" s="6"/>
      <x:c r="E162" s="7"/>
      <x:c r="F162" s="6"/>
      <x:c r="G162" s="6"/>
      <x:c r="H162" s="1"/>
      <x:c r="I162" s="1"/>
      <x:c r="J162" s="1"/>
      <x:c r="K162" s="1"/>
      <x:c r="L162" s="1"/>
      <x:c r="M162" s="1"/>
      <x:c r="N162" s="1"/>
      <x:c r="O162" s="1"/>
      <x:c r="P162" s="1"/>
      <x:c r="Q162" s="1"/>
      <x:c r="R162" s="1"/>
      <x:c r="S162" s="1"/>
      <x:c r="T162" s="1"/>
      <x:c r="U162" s="1"/>
      <x:c r="V162" s="1"/>
    </x:row>
    <x:row r="163" ht="15" customHeight="1">
      <x:c r="A163" s="5"/>
      <x:c r="B163" s="1"/>
      <x:c r="C163" s="6"/>
      <x:c r="D163" s="6"/>
      <x:c r="E163" s="7"/>
      <x:c r="F163" s="6"/>
      <x:c r="G163" s="6"/>
      <x:c r="H163" s="1"/>
      <x:c r="I163" s="1"/>
      <x:c r="J163" s="1"/>
      <x:c r="K163" s="1"/>
      <x:c r="L163" s="1"/>
      <x:c r="M163" s="1"/>
      <x:c r="N163" s="1"/>
      <x:c r="O163" s="1"/>
      <x:c r="P163" s="1"/>
      <x:c r="Q163" s="1"/>
      <x:c r="R163" s="1"/>
      <x:c r="S163" s="1"/>
      <x:c r="T163" s="1"/>
      <x:c r="U163" s="1"/>
      <x:c r="V163" s="1"/>
    </x:row>
    <x:row r="164" ht="15" customHeight="1">
      <x:c r="A164" s="5"/>
      <x:c r="B164" s="1"/>
      <x:c r="C164" s="6"/>
      <x:c r="D164" s="6"/>
      <x:c r="E164" s="7"/>
      <x:c r="F164" s="6"/>
      <x:c r="G164" s="6"/>
      <x:c r="H164" s="1"/>
      <x:c r="I164" s="1"/>
      <x:c r="J164" s="1"/>
      <x:c r="K164" s="1"/>
      <x:c r="L164" s="1"/>
      <x:c r="M164" s="1"/>
      <x:c r="N164" s="1"/>
      <x:c r="O164" s="1"/>
      <x:c r="P164" s="1"/>
      <x:c r="Q164" s="1"/>
      <x:c r="R164" s="1"/>
      <x:c r="S164" s="1"/>
      <x:c r="T164" s="1"/>
      <x:c r="U164" s="1"/>
      <x:c r="V164" s="1"/>
    </x:row>
    <x:row r="165" ht="15" customHeight="1">
      <x:c r="A165" s="5"/>
      <x:c r="B165" s="1"/>
      <x:c r="C165" s="6"/>
      <x:c r="D165" s="6"/>
      <x:c r="E165" s="7"/>
      <x:c r="F165" s="6"/>
      <x:c r="G165" s="6"/>
      <x:c r="H165" s="1"/>
      <x:c r="I165" s="1"/>
      <x:c r="J165" s="1"/>
      <x:c r="K165" s="1"/>
      <x:c r="L165" s="1"/>
      <x:c r="M165" s="1"/>
      <x:c r="N165" s="1"/>
      <x:c r="O165" s="1"/>
      <x:c r="P165" s="1"/>
      <x:c r="Q165" s="1"/>
      <x:c r="R165" s="1"/>
      <x:c r="S165" s="1"/>
      <x:c r="T165" s="1"/>
      <x:c r="U165" s="1"/>
      <x:c r="V165" s="1"/>
    </x:row>
    <x:row r="166" ht="15" customHeight="1">
      <x:c r="A166" s="5"/>
      <x:c r="B166" s="1"/>
      <x:c r="C166" s="6"/>
      <x:c r="D166" s="6"/>
      <x:c r="E166" s="7"/>
      <x:c r="F166" s="6"/>
      <x:c r="G166" s="6"/>
      <x:c r="H166" s="1"/>
      <x:c r="I166" s="1"/>
      <x:c r="J166" s="1"/>
      <x:c r="K166" s="1"/>
      <x:c r="L166" s="1"/>
      <x:c r="M166" s="1"/>
      <x:c r="N166" s="1"/>
      <x:c r="O166" s="1"/>
      <x:c r="P166" s="1"/>
      <x:c r="Q166" s="1"/>
      <x:c r="R166" s="1"/>
      <x:c r="S166" s="1"/>
      <x:c r="T166" s="1"/>
      <x:c r="U166" s="1"/>
      <x:c r="V166" s="1"/>
    </x:row>
    <x:row r="167" ht="15" customHeight="1">
      <x:c r="A167" s="5"/>
      <x:c r="B167" s="1"/>
      <x:c r="C167" s="6"/>
      <x:c r="D167" s="6"/>
      <x:c r="E167" s="7"/>
      <x:c r="F167" s="6"/>
      <x:c r="G167" s="6"/>
      <x:c r="H167" s="1"/>
      <x:c r="I167" s="1"/>
      <x:c r="J167" s="1"/>
      <x:c r="K167" s="1"/>
      <x:c r="L167" s="1"/>
      <x:c r="M167" s="1"/>
      <x:c r="N167" s="1"/>
      <x:c r="O167" s="1"/>
      <x:c r="P167" s="1"/>
      <x:c r="Q167" s="1"/>
      <x:c r="R167" s="1"/>
      <x:c r="S167" s="1"/>
      <x:c r="T167" s="1"/>
      <x:c r="U167" s="1"/>
      <x:c r="V167" s="1"/>
    </x:row>
    <x:row r="168" ht="15" customHeight="1">
      <x:c r="A168" s="5"/>
      <x:c r="B168" s="1"/>
      <x:c r="C168" s="6"/>
      <x:c r="D168" s="6"/>
      <x:c r="E168" s="7"/>
      <x:c r="F168" s="6"/>
      <x:c r="G168" s="6"/>
      <x:c r="H168" s="1"/>
      <x:c r="I168" s="1"/>
      <x:c r="J168" s="1"/>
      <x:c r="K168" s="1"/>
      <x:c r="L168" s="1"/>
      <x:c r="M168" s="1"/>
      <x:c r="N168" s="1"/>
      <x:c r="O168" s="1"/>
      <x:c r="P168" s="1"/>
      <x:c r="Q168" s="1"/>
      <x:c r="R168" s="1"/>
      <x:c r="S168" s="1"/>
      <x:c r="T168" s="1"/>
      <x:c r="U168" s="1"/>
      <x:c r="V168" s="1"/>
    </x:row>
    <x:row r="169" ht="15" customHeight="1">
      <x:c r="A169" s="5"/>
      <x:c r="B169" s="1"/>
      <x:c r="C169" s="6"/>
      <x:c r="D169" s="6"/>
      <x:c r="E169" s="7"/>
      <x:c r="F169" s="6"/>
      <x:c r="G169" s="6"/>
      <x:c r="H169" s="1"/>
      <x:c r="I169" s="1"/>
      <x:c r="J169" s="1"/>
      <x:c r="K169" s="1"/>
      <x:c r="L169" s="1"/>
      <x:c r="M169" s="1"/>
      <x:c r="N169" s="1"/>
      <x:c r="O169" s="1"/>
      <x:c r="P169" s="1"/>
      <x:c r="Q169" s="1"/>
      <x:c r="R169" s="1"/>
      <x:c r="S169" s="1"/>
      <x:c r="T169" s="1"/>
      <x:c r="U169" s="1"/>
      <x:c r="V169" s="1"/>
    </x:row>
    <x:row r="170" ht="15" customHeight="1">
      <x:c r="A170" s="5"/>
      <x:c r="B170" s="1"/>
      <x:c r="C170" s="6"/>
      <x:c r="D170" s="6"/>
      <x:c r="E170" s="7"/>
      <x:c r="F170" s="6"/>
      <x:c r="G170" s="6"/>
      <x:c r="H170" s="1"/>
      <x:c r="I170" s="1"/>
      <x:c r="J170" s="1"/>
      <x:c r="K170" s="1"/>
      <x:c r="L170" s="1"/>
      <x:c r="M170" s="1"/>
      <x:c r="N170" s="1"/>
      <x:c r="O170" s="1"/>
      <x:c r="P170" s="1"/>
      <x:c r="Q170" s="1"/>
      <x:c r="R170" s="1"/>
      <x:c r="S170" s="1"/>
      <x:c r="T170" s="1"/>
      <x:c r="U170" s="1"/>
      <x:c r="V170" s="1"/>
    </x:row>
    <x:row r="171" ht="15" customHeight="1">
      <x:c r="A171" s="5"/>
      <x:c r="B171" s="1"/>
      <x:c r="C171" s="6"/>
      <x:c r="D171" s="6"/>
      <x:c r="E171" s="7"/>
      <x:c r="F171" s="6"/>
      <x:c r="G171" s="6"/>
      <x:c r="H171" s="1"/>
      <x:c r="I171" s="1"/>
      <x:c r="J171" s="1"/>
      <x:c r="K171" s="1"/>
      <x:c r="L171" s="1"/>
      <x:c r="M171" s="1"/>
      <x:c r="N171" s="1"/>
      <x:c r="O171" s="1"/>
      <x:c r="P171" s="1"/>
      <x:c r="Q171" s="1"/>
      <x:c r="R171" s="1"/>
      <x:c r="S171" s="1"/>
      <x:c r="T171" s="1"/>
      <x:c r="U171" s="1"/>
      <x:c r="V171" s="1"/>
    </x:row>
    <x:row r="172" ht="15" customHeight="1">
      <x:c r="A172" s="5"/>
      <x:c r="B172" s="1"/>
      <x:c r="C172" s="6"/>
      <x:c r="D172" s="6"/>
      <x:c r="E172" s="7"/>
      <x:c r="F172" s="6"/>
      <x:c r="G172" s="6"/>
      <x:c r="H172" s="1"/>
      <x:c r="I172" s="1"/>
      <x:c r="J172" s="1"/>
      <x:c r="K172" s="1"/>
      <x:c r="L172" s="1"/>
      <x:c r="M172" s="1"/>
      <x:c r="N172" s="1"/>
      <x:c r="O172" s="1"/>
      <x:c r="P172" s="1"/>
      <x:c r="Q172" s="1"/>
      <x:c r="R172" s="1"/>
      <x:c r="S172" s="1"/>
      <x:c r="T172" s="1"/>
      <x:c r="U172" s="1"/>
      <x:c r="V172" s="1"/>
    </x:row>
    <x:row r="173" ht="15" customHeight="1">
      <x:c r="A173" s="5"/>
      <x:c r="B173" s="1"/>
      <x:c r="C173" s="6"/>
      <x:c r="D173" s="6"/>
      <x:c r="E173" s="7"/>
      <x:c r="F173" s="6"/>
      <x:c r="G173" s="6"/>
      <x:c r="H173" s="1"/>
      <x:c r="I173" s="1"/>
      <x:c r="J173" s="1"/>
      <x:c r="K173" s="1"/>
      <x:c r="L173" s="1"/>
      <x:c r="M173" s="1"/>
      <x:c r="N173" s="1"/>
      <x:c r="O173" s="1"/>
      <x:c r="P173" s="1"/>
      <x:c r="Q173" s="1"/>
      <x:c r="R173" s="1"/>
      <x:c r="S173" s="1"/>
      <x:c r="T173" s="1"/>
      <x:c r="U173" s="1"/>
      <x:c r="V173" s="1"/>
    </x:row>
    <x:row r="174" ht="15" customHeight="1">
      <x:c r="A174" s="5"/>
      <x:c r="B174" s="1"/>
      <x:c r="C174" s="6"/>
      <x:c r="D174" s="6"/>
      <x:c r="E174" s="7"/>
      <x:c r="F174" s="6"/>
      <x:c r="G174" s="6"/>
      <x:c r="H174" s="1"/>
      <x:c r="I174" s="1"/>
      <x:c r="J174" s="1"/>
      <x:c r="K174" s="1"/>
      <x:c r="L174" s="1"/>
      <x:c r="M174" s="1"/>
      <x:c r="N174" s="1"/>
      <x:c r="O174" s="1"/>
      <x:c r="P174" s="1"/>
      <x:c r="Q174" s="1"/>
      <x:c r="R174" s="1"/>
      <x:c r="S174" s="1"/>
      <x:c r="T174" s="1"/>
      <x:c r="U174" s="1"/>
      <x:c r="V174" s="1"/>
    </x:row>
    <x:row r="175" ht="15" customHeight="1">
      <x:c r="A175" s="5"/>
      <x:c r="B175" s="1"/>
      <x:c r="C175" s="6"/>
      <x:c r="D175" s="6"/>
      <x:c r="E175" s="7"/>
      <x:c r="F175" s="6"/>
      <x:c r="G175" s="6"/>
      <x:c r="H175" s="1"/>
      <x:c r="I175" s="1"/>
      <x:c r="J175" s="1"/>
      <x:c r="K175" s="1"/>
      <x:c r="L175" s="1"/>
      <x:c r="M175" s="1"/>
      <x:c r="N175" s="1"/>
      <x:c r="O175" s="1"/>
      <x:c r="P175" s="1"/>
      <x:c r="Q175" s="1"/>
      <x:c r="R175" s="1"/>
      <x:c r="S175" s="1"/>
      <x:c r="T175" s="1"/>
      <x:c r="U175" s="1"/>
      <x:c r="V175" s="1"/>
    </x:row>
    <x:row r="176" ht="15" customHeight="1">
      <x:c r="A176" s="5"/>
      <x:c r="B176" s="1"/>
      <x:c r="C176" s="6"/>
      <x:c r="D176" s="6"/>
      <x:c r="E176" s="7"/>
      <x:c r="F176" s="6"/>
      <x:c r="G176" s="6"/>
      <x:c r="H176" s="1"/>
      <x:c r="I176" s="1"/>
      <x:c r="J176" s="1"/>
      <x:c r="K176" s="1"/>
      <x:c r="L176" s="1"/>
      <x:c r="M176" s="1"/>
      <x:c r="N176" s="1"/>
      <x:c r="O176" s="1"/>
      <x:c r="P176" s="1"/>
      <x:c r="Q176" s="1"/>
      <x:c r="R176" s="1"/>
      <x:c r="S176" s="1"/>
      <x:c r="T176" s="1"/>
      <x:c r="U176" s="1"/>
      <x:c r="V176" s="1"/>
    </x:row>
    <x:row r="177" ht="15" customHeight="1">
      <x:c r="A177" s="5"/>
      <x:c r="B177" s="1"/>
      <x:c r="C177" s="6"/>
      <x:c r="D177" s="6"/>
      <x:c r="E177" s="7"/>
      <x:c r="F177" s="6"/>
      <x:c r="G177" s="6"/>
      <x:c r="H177" s="1"/>
      <x:c r="I177" s="1"/>
      <x:c r="J177" s="1"/>
      <x:c r="K177" s="1"/>
      <x:c r="L177" s="1"/>
      <x:c r="M177" s="1"/>
      <x:c r="N177" s="1"/>
      <x:c r="O177" s="1"/>
      <x:c r="P177" s="1"/>
      <x:c r="Q177" s="1"/>
      <x:c r="R177" s="1"/>
      <x:c r="S177" s="1"/>
      <x:c r="T177" s="1"/>
      <x:c r="U177" s="1"/>
      <x:c r="V177" s="1"/>
    </x:row>
    <x:row r="178" ht="15" customHeight="1">
      <x:c r="A178" s="5"/>
      <x:c r="B178" s="1"/>
      <x:c r="C178" s="6"/>
      <x:c r="D178" s="6"/>
      <x:c r="E178" s="7"/>
      <x:c r="F178" s="6"/>
      <x:c r="G178" s="6"/>
      <x:c r="H178" s="1"/>
      <x:c r="I178" s="1"/>
      <x:c r="J178" s="1"/>
      <x:c r="K178" s="1"/>
      <x:c r="L178" s="1"/>
      <x:c r="M178" s="1"/>
      <x:c r="N178" s="1"/>
      <x:c r="O178" s="1"/>
      <x:c r="P178" s="1"/>
      <x:c r="Q178" s="1"/>
      <x:c r="R178" s="1"/>
      <x:c r="S178" s="1"/>
      <x:c r="T178" s="1"/>
      <x:c r="U178" s="1"/>
      <x:c r="V178" s="1"/>
    </x:row>
    <x:row r="179" ht="15" customHeight="1">
      <x:c r="A179" s="5"/>
      <x:c r="B179" s="1"/>
      <x:c r="C179" s="6"/>
      <x:c r="D179" s="6"/>
      <x:c r="E179" s="7"/>
      <x:c r="F179" s="6"/>
      <x:c r="G179" s="6"/>
      <x:c r="H179" s="1"/>
      <x:c r="I179" s="1"/>
      <x:c r="J179" s="1"/>
      <x:c r="K179" s="1"/>
      <x:c r="L179" s="1"/>
      <x:c r="M179" s="1"/>
      <x:c r="N179" s="1"/>
      <x:c r="O179" s="1"/>
      <x:c r="P179" s="1"/>
      <x:c r="Q179" s="1"/>
      <x:c r="R179" s="1"/>
      <x:c r="S179" s="1"/>
      <x:c r="T179" s="1"/>
      <x:c r="U179" s="1"/>
      <x:c r="V179" s="1"/>
    </x:row>
    <x:row r="180" ht="15" customHeight="1">
      <x:c r="A180" s="5"/>
      <x:c r="B180" s="1"/>
      <x:c r="C180" s="6"/>
      <x:c r="D180" s="6"/>
      <x:c r="E180" s="7"/>
      <x:c r="F180" s="6"/>
      <x:c r="G180" s="6"/>
      <x:c r="H180" s="1"/>
      <x:c r="I180" s="1"/>
      <x:c r="J180" s="1"/>
      <x:c r="K180" s="1"/>
      <x:c r="L180" s="1"/>
      <x:c r="M180" s="1"/>
      <x:c r="N180" s="1"/>
      <x:c r="O180" s="1"/>
      <x:c r="P180" s="1"/>
      <x:c r="Q180" s="1"/>
      <x:c r="R180" s="1"/>
      <x:c r="S180" s="1"/>
      <x:c r="T180" s="1"/>
      <x:c r="U180" s="1"/>
      <x:c r="V180" s="1"/>
    </x:row>
    <x:row r="181" ht="15" customHeight="1">
      <x:c r="A181" s="5"/>
      <x:c r="B181" s="1"/>
      <x:c r="C181" s="6"/>
      <x:c r="D181" s="6"/>
      <x:c r="E181" s="7"/>
      <x:c r="F181" s="6"/>
      <x:c r="G181" s="6"/>
      <x:c r="H181" s="1"/>
      <x:c r="I181" s="1"/>
      <x:c r="J181" s="1"/>
      <x:c r="K181" s="1"/>
      <x:c r="L181" s="1"/>
      <x:c r="M181" s="1"/>
      <x:c r="N181" s="1"/>
      <x:c r="O181" s="1"/>
      <x:c r="P181" s="1"/>
      <x:c r="Q181" s="1"/>
      <x:c r="R181" s="1"/>
      <x:c r="S181" s="1"/>
      <x:c r="T181" s="1"/>
      <x:c r="U181" s="1"/>
      <x:c r="V181" s="1"/>
    </x:row>
    <x:row r="182" ht="15" customHeight="1">
      <x:c r="A182" s="5"/>
      <x:c r="B182" s="1"/>
      <x:c r="C182" s="6"/>
      <x:c r="D182" s="6"/>
      <x:c r="E182" s="7"/>
      <x:c r="F182" s="6"/>
      <x:c r="G182" s="6"/>
      <x:c r="H182" s="1"/>
      <x:c r="I182" s="1"/>
      <x:c r="J182" s="1"/>
      <x:c r="K182" s="1"/>
      <x:c r="L182" s="1"/>
      <x:c r="M182" s="1"/>
      <x:c r="N182" s="1"/>
      <x:c r="O182" s="1"/>
      <x:c r="P182" s="1"/>
      <x:c r="Q182" s="1"/>
      <x:c r="R182" s="1"/>
      <x:c r="S182" s="1"/>
      <x:c r="T182" s="1"/>
      <x:c r="U182" s="1"/>
      <x:c r="V182" s="1"/>
    </x:row>
    <x:row r="183" ht="15" customHeight="1">
      <x:c r="A183" s="5"/>
      <x:c r="B183" s="1"/>
      <x:c r="C183" s="6"/>
      <x:c r="D183" s="6"/>
      <x:c r="E183" s="7"/>
      <x:c r="F183" s="6"/>
      <x:c r="G183" s="6"/>
      <x:c r="H183" s="1"/>
      <x:c r="I183" s="1"/>
      <x:c r="J183" s="1"/>
      <x:c r="K183" s="1"/>
      <x:c r="L183" s="1"/>
      <x:c r="M183" s="1"/>
      <x:c r="N183" s="1"/>
      <x:c r="O183" s="1"/>
      <x:c r="P183" s="1"/>
      <x:c r="Q183" s="1"/>
      <x:c r="R183" s="1"/>
      <x:c r="S183" s="1"/>
      <x:c r="T183" s="1"/>
      <x:c r="U183" s="1"/>
      <x:c r="V183" s="1"/>
    </x:row>
    <x:row r="184" ht="15" customHeight="1">
      <x:c r="A184" s="5"/>
      <x:c r="B184" s="1"/>
      <x:c r="C184" s="6"/>
      <x:c r="D184" s="6"/>
      <x:c r="E184" s="7"/>
      <x:c r="F184" s="6"/>
      <x:c r="G184" s="6"/>
      <x:c r="H184" s="1"/>
      <x:c r="I184" s="1"/>
      <x:c r="J184" s="1"/>
      <x:c r="K184" s="1"/>
      <x:c r="L184" s="1"/>
      <x:c r="M184" s="1"/>
      <x:c r="N184" s="1"/>
      <x:c r="O184" s="1"/>
      <x:c r="P184" s="1"/>
      <x:c r="Q184" s="1"/>
      <x:c r="R184" s="1"/>
      <x:c r="S184" s="1"/>
      <x:c r="T184" s="1"/>
      <x:c r="U184" s="1"/>
      <x:c r="V184" s="1"/>
    </x:row>
    <x:row r="185" ht="15" customHeight="1">
      <x:c r="A185" s="5"/>
      <x:c r="B185" s="1"/>
      <x:c r="C185" s="6"/>
      <x:c r="D185" s="6"/>
      <x:c r="E185" s="7"/>
      <x:c r="F185" s="6"/>
      <x:c r="G185" s="6"/>
      <x:c r="H185" s="1"/>
      <x:c r="I185" s="1"/>
      <x:c r="J185" s="1"/>
      <x:c r="K185" s="1"/>
      <x:c r="L185" s="1"/>
      <x:c r="M185" s="1"/>
      <x:c r="N185" s="1"/>
      <x:c r="O185" s="1"/>
      <x:c r="P185" s="1"/>
      <x:c r="Q185" s="1"/>
      <x:c r="R185" s="1"/>
      <x:c r="S185" s="1"/>
      <x:c r="T185" s="1"/>
      <x:c r="U185" s="1"/>
      <x:c r="V185" s="1"/>
    </x:row>
    <x:row r="186" ht="15" customHeight="1">
      <x:c r="A186" s="5"/>
      <x:c r="B186" s="1"/>
      <x:c r="C186" s="6"/>
      <x:c r="D186" s="6"/>
      <x:c r="E186" s="7"/>
      <x:c r="F186" s="6"/>
      <x:c r="G186" s="6"/>
      <x:c r="H186" s="1"/>
      <x:c r="I186" s="1"/>
      <x:c r="J186" s="1"/>
      <x:c r="K186" s="1"/>
      <x:c r="L186" s="1"/>
      <x:c r="M186" s="1"/>
      <x:c r="N186" s="1"/>
      <x:c r="O186" s="1"/>
      <x:c r="P186" s="1"/>
      <x:c r="Q186" s="1"/>
      <x:c r="R186" s="1"/>
      <x:c r="S186" s="1"/>
      <x:c r="T186" s="1"/>
      <x:c r="U186" s="1"/>
      <x:c r="V186" s="1"/>
    </x:row>
    <x:row r="187" ht="15" customHeight="1">
      <x:c r="A187" s="5"/>
      <x:c r="B187" s="1"/>
      <x:c r="C187" s="6"/>
      <x:c r="D187" s="6"/>
      <x:c r="E187" s="7"/>
      <x:c r="F187" s="6"/>
      <x:c r="G187" s="6"/>
      <x:c r="H187" s="1"/>
      <x:c r="I187" s="1"/>
      <x:c r="J187" s="1"/>
      <x:c r="K187" s="1"/>
      <x:c r="L187" s="1"/>
      <x:c r="M187" s="1"/>
      <x:c r="N187" s="1"/>
      <x:c r="O187" s="1"/>
      <x:c r="P187" s="1"/>
      <x:c r="Q187" s="1"/>
      <x:c r="R187" s="1"/>
      <x:c r="S187" s="1"/>
      <x:c r="T187" s="1"/>
      <x:c r="U187" s="1"/>
      <x:c r="V187" s="1"/>
    </x:row>
    <x:row r="188" ht="15" customHeight="1">
      <x:c r="A188" s="5"/>
      <x:c r="B188" s="1"/>
      <x:c r="C188" s="6"/>
      <x:c r="D188" s="6"/>
      <x:c r="E188" s="7"/>
      <x:c r="F188" s="6"/>
      <x:c r="G188" s="6"/>
      <x:c r="H188" s="1"/>
      <x:c r="I188" s="1"/>
      <x:c r="J188" s="1"/>
      <x:c r="K188" s="1"/>
      <x:c r="L188" s="1"/>
      <x:c r="M188" s="1"/>
      <x:c r="N188" s="1"/>
      <x:c r="O188" s="1"/>
      <x:c r="P188" s="1"/>
      <x:c r="Q188" s="1"/>
      <x:c r="R188" s="1"/>
      <x:c r="S188" s="1"/>
      <x:c r="T188" s="1"/>
      <x:c r="U188" s="1"/>
      <x:c r="V188" s="1"/>
    </x:row>
    <x:row r="189" ht="15" customHeight="1">
      <x:c r="A189" s="5"/>
      <x:c r="B189" s="1"/>
      <x:c r="C189" s="6"/>
      <x:c r="D189" s="6"/>
      <x:c r="E189" s="7"/>
      <x:c r="F189" s="6"/>
      <x:c r="G189" s="6"/>
      <x:c r="H189" s="1"/>
      <x:c r="I189" s="1"/>
      <x:c r="J189" s="1"/>
      <x:c r="K189" s="1"/>
      <x:c r="L189" s="1"/>
      <x:c r="M189" s="1"/>
      <x:c r="N189" s="1"/>
      <x:c r="O189" s="1"/>
      <x:c r="P189" s="1"/>
      <x:c r="Q189" s="1"/>
      <x:c r="R189" s="1"/>
      <x:c r="S189" s="1"/>
      <x:c r="T189" s="1"/>
      <x:c r="U189" s="1"/>
      <x:c r="V189" s="1"/>
    </x:row>
    <x:row r="190" ht="15" customHeight="1">
      <x:c r="A190" s="5"/>
      <x:c r="B190" s="1"/>
      <x:c r="C190" s="6"/>
      <x:c r="D190" s="6"/>
      <x:c r="E190" s="7"/>
      <x:c r="F190" s="6"/>
      <x:c r="G190" s="6"/>
      <x:c r="H190" s="1"/>
      <x:c r="I190" s="1"/>
      <x:c r="J190" s="1"/>
      <x:c r="K190" s="1"/>
      <x:c r="L190" s="1"/>
      <x:c r="M190" s="1"/>
      <x:c r="N190" s="1"/>
      <x:c r="O190" s="1"/>
      <x:c r="P190" s="1"/>
      <x:c r="Q190" s="1"/>
      <x:c r="R190" s="1"/>
      <x:c r="S190" s="1"/>
      <x:c r="T190" s="1"/>
      <x:c r="U190" s="1"/>
      <x:c r="V190" s="1"/>
    </x:row>
    <x:row r="191" ht="15" customHeight="1">
      <x:c r="A191" s="5"/>
      <x:c r="B191" s="1"/>
      <x:c r="C191" s="6"/>
      <x:c r="D191" s="6"/>
      <x:c r="E191" s="7"/>
      <x:c r="F191" s="6"/>
      <x:c r="G191" s="6"/>
      <x:c r="H191" s="1"/>
      <x:c r="I191" s="1"/>
      <x:c r="J191" s="1"/>
      <x:c r="K191" s="1"/>
      <x:c r="L191" s="1"/>
      <x:c r="M191" s="1"/>
      <x:c r="N191" s="1"/>
      <x:c r="O191" s="1"/>
      <x:c r="P191" s="1"/>
      <x:c r="Q191" s="1"/>
      <x:c r="R191" s="1"/>
      <x:c r="S191" s="1"/>
      <x:c r="T191" s="1"/>
      <x:c r="U191" s="1"/>
      <x:c r="V191" s="1"/>
    </x:row>
    <x:row r="192" ht="15" customHeight="1">
      <x:c r="A192" s="5"/>
      <x:c r="B192" s="1"/>
      <x:c r="C192" s="6"/>
      <x:c r="D192" s="6"/>
      <x:c r="E192" s="7"/>
      <x:c r="F192" s="6"/>
      <x:c r="G192" s="6"/>
      <x:c r="H192" s="1"/>
      <x:c r="I192" s="1"/>
      <x:c r="J192" s="1"/>
      <x:c r="K192" s="1"/>
      <x:c r="L192" s="1"/>
      <x:c r="M192" s="1"/>
      <x:c r="N192" s="1"/>
      <x:c r="O192" s="1"/>
      <x:c r="P192" s="1"/>
      <x:c r="Q192" s="1"/>
      <x:c r="R192" s="1"/>
      <x:c r="S192" s="1"/>
      <x:c r="T192" s="1"/>
      <x:c r="U192" s="1"/>
      <x:c r="V192" s="1"/>
    </x:row>
    <x:row r="193" ht="15" customHeight="1">
      <x:c r="A193" s="5"/>
      <x:c r="B193" s="1"/>
      <x:c r="C193" s="6"/>
      <x:c r="D193" s="6"/>
      <x:c r="E193" s="7"/>
      <x:c r="F193" s="6"/>
      <x:c r="G193" s="6"/>
      <x:c r="H193" s="1"/>
      <x:c r="I193" s="1"/>
      <x:c r="J193" s="1"/>
      <x:c r="K193" s="1"/>
      <x:c r="L193" s="1"/>
      <x:c r="M193" s="1"/>
      <x:c r="N193" s="1"/>
      <x:c r="O193" s="1"/>
      <x:c r="P193" s="1"/>
      <x:c r="Q193" s="1"/>
      <x:c r="R193" s="1"/>
      <x:c r="S193" s="1"/>
      <x:c r="T193" s="1"/>
      <x:c r="U193" s="1"/>
      <x:c r="V193" s="1"/>
    </x:row>
    <x:row r="194" ht="15" customHeight="1">
      <x:c r="A194" s="5"/>
      <x:c r="B194" s="1"/>
      <x:c r="C194" s="6"/>
      <x:c r="D194" s="6"/>
      <x:c r="E194" s="7"/>
      <x:c r="F194" s="6"/>
      <x:c r="G194" s="6"/>
      <x:c r="H194" s="1"/>
      <x:c r="I194" s="1"/>
      <x:c r="J194" s="1"/>
      <x:c r="K194" s="1"/>
      <x:c r="L194" s="1"/>
      <x:c r="M194" s="1"/>
      <x:c r="N194" s="1"/>
      <x:c r="O194" s="1"/>
      <x:c r="P194" s="1"/>
      <x:c r="Q194" s="1"/>
      <x:c r="R194" s="1"/>
      <x:c r="S194" s="1"/>
      <x:c r="T194" s="1"/>
      <x:c r="U194" s="1"/>
      <x:c r="V194" s="1"/>
    </x:row>
    <x:row r="195" ht="15" customHeight="1">
      <x:c r="A195" s="5"/>
      <x:c r="B195" s="1"/>
      <x:c r="C195" s="6"/>
      <x:c r="D195" s="6"/>
      <x:c r="E195" s="7"/>
      <x:c r="F195" s="6"/>
      <x:c r="G195" s="6"/>
      <x:c r="H195" s="1"/>
      <x:c r="I195" s="1"/>
      <x:c r="J195" s="1"/>
      <x:c r="K195" s="1"/>
      <x:c r="L195" s="1"/>
      <x:c r="M195" s="1"/>
      <x:c r="N195" s="1"/>
      <x:c r="O195" s="1"/>
      <x:c r="P195" s="1"/>
      <x:c r="Q195" s="1"/>
      <x:c r="R195" s="1"/>
      <x:c r="S195" s="1"/>
      <x:c r="T195" s="1"/>
      <x:c r="U195" s="1"/>
      <x:c r="V195" s="1"/>
    </x:row>
    <x:row r="196" ht="15" customHeight="1">
      <x:c r="A196" s="5"/>
      <x:c r="B196" s="1"/>
      <x:c r="C196" s="6"/>
      <x:c r="D196" s="6"/>
      <x:c r="E196" s="7"/>
      <x:c r="F196" s="6"/>
      <x:c r="G196" s="6"/>
      <x:c r="H196" s="1"/>
      <x:c r="I196" s="1"/>
      <x:c r="J196" s="1"/>
      <x:c r="K196" s="1"/>
      <x:c r="L196" s="1"/>
      <x:c r="M196" s="1"/>
      <x:c r="N196" s="1"/>
      <x:c r="O196" s="1"/>
      <x:c r="P196" s="1"/>
      <x:c r="Q196" s="1"/>
      <x:c r="R196" s="1"/>
      <x:c r="S196" s="1"/>
      <x:c r="T196" s="1"/>
      <x:c r="U196" s="1"/>
      <x:c r="V196" s="1"/>
    </x:row>
    <x:row r="197" ht="15" customHeight="1">
      <x:c r="A197" s="5"/>
      <x:c r="B197" s="1"/>
      <x:c r="C197" s="6"/>
      <x:c r="D197" s="6"/>
      <x:c r="E197" s="7"/>
      <x:c r="F197" s="6"/>
      <x:c r="G197" s="6"/>
      <x:c r="H197" s="1"/>
      <x:c r="I197" s="1"/>
      <x:c r="J197" s="1"/>
      <x:c r="K197" s="1"/>
      <x:c r="L197" s="1"/>
      <x:c r="M197" s="1"/>
      <x:c r="N197" s="1"/>
      <x:c r="O197" s="1"/>
      <x:c r="P197" s="1"/>
      <x:c r="Q197" s="1"/>
      <x:c r="R197" s="1"/>
      <x:c r="S197" s="1"/>
      <x:c r="T197" s="1"/>
      <x:c r="U197" s="1"/>
      <x:c r="V197" s="1"/>
    </x:row>
    <x:row r="198" ht="15" customHeight="1">
      <x:c r="A198" s="5"/>
      <x:c r="B198" s="1"/>
      <x:c r="C198" s="6"/>
      <x:c r="D198" s="6"/>
      <x:c r="E198" s="7"/>
      <x:c r="F198" s="6"/>
      <x:c r="G198" s="6"/>
      <x:c r="H198" s="1"/>
      <x:c r="I198" s="1"/>
      <x:c r="J198" s="1"/>
      <x:c r="K198" s="1"/>
      <x:c r="L198" s="1"/>
      <x:c r="M198" s="1"/>
      <x:c r="N198" s="1"/>
      <x:c r="O198" s="1"/>
      <x:c r="P198" s="1"/>
      <x:c r="Q198" s="1"/>
      <x:c r="R198" s="1"/>
      <x:c r="S198" s="1"/>
      <x:c r="T198" s="1"/>
      <x:c r="U198" s="1"/>
      <x:c r="V198" s="1"/>
    </x:row>
    <x:row r="199" ht="15" customHeight="1">
      <x:c r="A199" s="5"/>
      <x:c r="B199" s="1"/>
      <x:c r="C199" s="6"/>
      <x:c r="D199" s="6"/>
      <x:c r="E199" s="7"/>
      <x:c r="F199" s="6"/>
      <x:c r="G199" s="6"/>
      <x:c r="H199" s="1"/>
      <x:c r="I199" s="1"/>
      <x:c r="J199" s="1"/>
      <x:c r="K199" s="1"/>
      <x:c r="L199" s="1"/>
      <x:c r="M199" s="1"/>
      <x:c r="N199" s="1"/>
      <x:c r="O199" s="1"/>
      <x:c r="P199" s="1"/>
      <x:c r="Q199" s="1"/>
      <x:c r="R199" s="1"/>
      <x:c r="S199" s="1"/>
      <x:c r="T199" s="1"/>
      <x:c r="U199" s="1"/>
      <x:c r="V199" s="1"/>
    </x:row>
    <x:row r="200" ht="15" customHeight="1">
      <x:c r="A200" s="5"/>
      <x:c r="B200" s="1"/>
      <x:c r="C200" s="6"/>
      <x:c r="D200" s="6"/>
      <x:c r="E200" s="7"/>
      <x:c r="F200" s="6"/>
      <x:c r="G200" s="6"/>
      <x:c r="H200" s="1"/>
      <x:c r="I200" s="1"/>
      <x:c r="J200" s="1"/>
      <x:c r="K200" s="1"/>
      <x:c r="L200" s="1"/>
      <x:c r="M200" s="1"/>
      <x:c r="N200" s="1"/>
      <x:c r="O200" s="1"/>
      <x:c r="P200" s="1"/>
      <x:c r="Q200" s="1"/>
      <x:c r="R200" s="1"/>
      <x:c r="S200" s="1"/>
      <x:c r="T200" s="1"/>
      <x:c r="U200" s="1"/>
      <x:c r="V200" s="1"/>
    </x:row>
  </x:sheetData>
  <x:conditionalFormatting sqref="G9:G200">
    <x:cfRule type="expression" dxfId="7" priority="1">
      <x:formula>AND(G9&lt;&gt;"",G9&gt;0)</x:formula>
    </x:cfRule>
    <x:cfRule type="expression" dxfId="6" priority="2">
      <x:formula>AND(G9&lt;&gt;"",G9&lt;0)</x:formula>
    </x:cfRule>
    <x:cfRule type="expression" dxfId="5" priority="3">
      <x:formula>G9=0</x:formula>
    </x:cfRule>
  </x:conditionalFormatting>
  <x:conditionalFormatting sqref="R9:R200">
    <x:cfRule type="expression" dxfId="4" priority="4">
      <x:formula>R9="ADVANCE"</x:formula>
    </x:cfRule>
    <x:cfRule type="expression" dxfId="3" priority="5">
      <x:formula>R9="PASS"</x:formula>
    </x:cfRule>
  </x:conditionalFormatting>
  <x:conditionalFormatting sqref="S9:S200">
    <x:cfRule type="expression" dxfId="2" priority="6">
      <x:formula>S9="Standard share position"</x:formula>
    </x:cfRule>
    <x:cfRule type="expression" dxfId="1" priority="7">
      <x:formula>OR(S9="Very small share position",S9="Small share position",S9="Reduced share position")</x:formula>
    </x:cfRule>
    <x:cfRule type="expression" dxfId="0" priority="8">
      <x:formula>S9="Watch only"</x:formula>
    </x:cfRule>
  </x:conditionalFormatting>
  <x:pageMargins left="0.7" right="0.7" top="0.75" bottom="0.75" header="0.3" footer="0.3"/>
</x:worksheet>
</file>