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bf90de5dc43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-W18" sheetId="1" r:id="R944e027167c6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"/>
      <x:name val="Carlito"/>
    </x:font>
    <x:font>
      <x:sz val="11"/>
      <x:color rgb="16324F"/>
      <x:name val="Carlito"/>
    </x:font>
    <x:font>
      <x:b/>
      <x:sz val="11"/>
      <x:color rgb="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123B5D"/>
      </x:patternFill>
    </x:fill>
    <x:fill>
      <x:patternFill patternType="solid">
        <x:fgColor rgb="EAF2F8"/>
      </x:patternFill>
    </x:fill>
    <x:fill>
      <x:patternFill patternType="solid">
        <x:fgColor rgb="2A6F97"/>
      </x:patternFill>
    </x:fill>
    <x:fill>
      <x:patternFill patternType="solid">
        <x:fgColor rgb="F7F9FB"/>
      </x:patternFill>
    </x:fill>
    <x:fill>
      <x:patternFill patternType="solid">
        <x:fgColor rgb="16324F"/>
      </x:patternFill>
    </x:fill>
    <x:fill>
      <x:patternFill patternType="solid">
        <x:fgColor rgb="FFFFFF"/>
      </x:patternFill>
    </x:fill>
  </x:fills>
  <x:borders count="2">
    <x:border/>
    <x:border/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/>
    </x:xf>
    <x:xf numFmtId="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left" wrapText="1"/>
    </x:xf>
    <x:xf numFmtId="0" fontId="2" fillId="5" borderId="1" xfId="0" applyNumberFormat="1" applyFont="1" applyFill="1" applyBorder="1" applyAlignment="1">
      <x:alignment horizontal="left" wrapText="1"/>
    </x:xf>
    <x:xf numFmtId="0" fontId="2" fillId="5" borderId="0" xfId="0" applyNumberFormat="1" applyFont="1" applyFill="1" applyBorder="1" applyAlignment="1">
      <x:alignment horizontal="left" vertical="center" wrapText="1"/>
    </x:xf>
    <x:xf numFmtId="0" fontId="2" fillId="5" borderId="1" xfId="0" applyNumberFormat="1" applyFont="1" applyFill="1" applyBorder="1" applyAlignment="1">
      <x:alignment horizontal="left"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166534"/>
      </x:font>
      <x:fill>
        <x:patternFill patternType="solid">
          <x:bgColor rgb="DCFCE7"/>
        </x:patternFill>
      </x:fill>
    </x:dxf>
    <x:dxf>
      <x:font>
        <x:b/>
        <x:color rgb="991B1B"/>
      </x:font>
      <x:fill>
        <x:patternFill patternType="solid">
          <x:bgColor rgb="FEE2E2"/>
        </x:patternFill>
      </x:fill>
    </x:dxf>
    <x:dxf>
      <x:font>
        <x:b/>
        <x:color rgb="1D4ED8"/>
      </x:font>
      <x:fill>
        <x:patternFill patternType="solid">
          <x:bgColor rgb="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2d7481db694767" /><Relationship Type="http://schemas.openxmlformats.org/officeDocument/2006/relationships/theme" Target="/xl/theme/theme1.xml" Id="R1bbe5bc33abd4afd" /><Relationship Type="http://schemas.openxmlformats.org/officeDocument/2006/relationships/sharedStrings" Target="/xl/sharedStrings.xml" Id="R3700494116a54221" /><Relationship Type="http://schemas.openxmlformats.org/officeDocument/2006/relationships/worksheet" Target="/xl/worksheets/sheet1.xml" Id="R944e027167c64392" /></Relationships>
</file>

<file path=xl/tables/table1.xml><?xml version="1.0" encoding="utf-8"?>
<x:table xmlns:x="http://schemas.openxmlformats.org/spreadsheetml/2006/main" id="1" name="WeeklyFindingsTable" displayName="WeeklyFindingsTable" ref="A8:O28" headerRowCount="1">
  <x:tableColumns count="15">
    <x:tableColumn id="1" name="Date"/>
    <x:tableColumn id="2" name="Ticker"/>
    <x:tableColumn id="3" name="Prompt 1 Regime"/>
    <x:tableColumn id="4" name="Prompt 2 Total Score"/>
    <x:tableColumn id="5" name="Prompt 2 Moat &amp; Quality"/>
    <x:tableColumn id="6" name="Prompt 3 Valuation Rank"/>
    <x:tableColumn id="7" name="Prompt 4 Decay Score"/>
    <x:tableColumn id="8" name="Prompt 4 Velocity"/>
    <x:tableColumn id="9" name="Prompt 5 Exit Ready"/>
    <x:tableColumn id="10" name="Chain Status"/>
    <x:tableColumn id="11" name="Final Decision"/>
    <x:tableColumn id="12" name="Sizing Stance"/>
    <x:tableColumn id="13" name="Key Risk"/>
    <x:tableColumn id="14" name="Key Bull Point"/>
    <x:tableColumn id="15" name="Verification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d814a9d86e41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17.860000610351562" hidden="0" customWidth="1"/>
    <x:col min="4" max="4" width="14.140000343322754" hidden="0" customWidth="1"/>
    <x:col min="5" max="5" width="17.860000610351562" hidden="0" customWidth="1"/>
    <x:col min="6" max="6" width="17.56999969482422" hidden="0" customWidth="1"/>
    <x:col min="7" max="7" width="14.710000038146973" hidden="0" customWidth="1"/>
    <x:col min="8" max="8" width="15.289999961853027" hidden="0" customWidth="1"/>
    <x:col min="9" max="9" width="14.140000343322754" hidden="0" customWidth="1"/>
    <x:col min="10" max="10" width="15" hidden="0" customWidth="1"/>
    <x:col min="11" max="11" width="14.710000038146973" hidden="0" customWidth="1"/>
    <x:col min="12" max="12" width="15.289999961853027" hidden="0" customWidth="1"/>
    <x:col min="13" max="13" width="29.290000915527344" hidden="0" customWidth="1"/>
    <x:col min="14" max="14" width="29.290000915527344" hidden="0" customWidth="1"/>
    <x:col min="15" max="15" width="33.56999969482422" hidden="0" customWidth="1"/>
  </x:cols>
  <x:sheetData>
    <x:row r="1" ht="22.5" customHeight="1">
      <x:c r="A1" s="8" t="str">
        <x:v>Weekly Analysis Findings - 2026-W18</x:v>
      </x:c>
      <x:c r="B1" s="8" t="str">
        <x:v>Weekly Analysis Findings - 2026-W18</x:v>
      </x:c>
      <x:c r="C1" s="8" t="str">
        <x:v>Weekly Analysis Findings - 2026-W18</x:v>
      </x:c>
      <x:c r="D1" s="8" t="str">
        <x:v>Weekly Analysis Findings - 2026-W18</x:v>
      </x:c>
      <x:c r="E1" s="8" t="str">
        <x:v>Weekly Analysis Findings - 2026-W18</x:v>
      </x:c>
      <x:c r="F1" s="8" t="str">
        <x:v>Weekly Analysis Findings - 2026-W18</x:v>
      </x:c>
      <x:c r="G1" s="8" t="str">
        <x:v>Weekly Analysis Findings - 2026-W18</x:v>
      </x:c>
      <x:c r="H1" s="8" t="str">
        <x:v>Weekly Analysis Findings - 2026-W18</x:v>
      </x:c>
      <x:c r="I1" s="8" t="str">
        <x:v>Weekly Analysis Findings - 2026-W18</x:v>
      </x:c>
      <x:c r="J1" s="8" t="str">
        <x:v>Weekly Analysis Findings - 2026-W18</x:v>
      </x:c>
      <x:c r="K1" s="8" t="str">
        <x:v>Weekly Analysis Findings - 2026-W18</x:v>
      </x:c>
      <x:c r="L1" s="8" t="str">
        <x:v>Weekly Analysis Findings - 2026-W18</x:v>
      </x:c>
      <x:c r="M1" s="8" t="str">
        <x:v>Weekly Analysis Findings - 2026-W18</x:v>
      </x:c>
      <x:c r="N1" s="8" t="str">
        <x:v>Weekly Analysis Findings - 2026-W18</x:v>
      </x:c>
      <x:c r="O1" s="8" t="str">
        <x:v>Weekly Analysis Findings - 2026-W18</x:v>
      </x:c>
    </x:row>
    <x:row r="2" ht="18" customHeight="1"/>
    <x:row r="3" ht="18" customHeight="1">
      <x:c r="A3" s="22" t="str">
        <x:v>Metric</x:v>
      </x:c>
      <x:c r="B3" s="22" t="str">
        <x:v>Value</x:v>
      </x:c>
      <x:c r="D3" s="38" t="str">
        <x:v>Week</x:v>
      </x:c>
      <x:c r="E3" s="38" t="str">
        <x:v>Bias</x:v>
      </x:c>
      <x:c r="F3" s="38" t="str">
        <x:v>Notes</x:v>
      </x:c>
    </x:row>
    <x:row r="4" ht="18" customHeight="1">
      <x:c r="A4" s="16" t="str">
        <x:v>Advance Count</x:v>
      </x:c>
      <x:c r="B4" s="16" t="n">
        <x:f>COUNTIF($K$9:$K$250,"ADVANCE")</x:f>
        <x:v>0</x:v>
      </x:c>
      <x:c r="D4" s="32" t="str">
        <x:v>2026-W18</x:v>
      </x:c>
      <x:c r="E4" s="32" t="str"/>
      <x:c r="F4" s="32" t="str"/>
    </x:row>
    <x:row r="5" ht="18" customHeight="1">
      <x:c r="A5" s="16" t="str">
        <x:v>Pass Count</x:v>
      </x:c>
      <x:c r="B5" s="16" t="n">
        <x:f>COUNTIF($K$9:$K$250,"PASS")</x:f>
        <x:v>0</x:v>
      </x:c>
      <x:c r="D5" s="32" t="str">
        <x:v>Primary Style</x:v>
      </x:c>
      <x:c r="E5" s="32" t="str"/>
      <x:c r="F5" s="32" t="str"/>
    </x:row>
    <x:row r="6" ht="18" customHeight="1">
      <x:c r="A6" s="16" t="str">
        <x:v>Watch Count</x:v>
      </x:c>
      <x:c r="B6" s="16" t="n">
        <x:f>COUNTIF($L$9:$L$250,"Watch only")</x:f>
        <x:v>0</x:v>
      </x:c>
      <x:c r="D6" s="32" t="str">
        <x:v>Recorder</x:v>
      </x:c>
      <x:c r="E6" s="32" t="str"/>
      <x:c r="F6" s="32" t="str"/>
    </x:row>
    <x:row r="7" ht="18" customHeight="1"/>
    <x:row r="8" ht="18" customHeight="1">
      <x:c r="A8" s="48" t="str">
        <x:v>Date</x:v>
      </x:c>
      <x:c r="B8" s="48" t="str">
        <x:v>Ticker</x:v>
      </x:c>
      <x:c r="C8" s="48" t="str">
        <x:v>Prompt 1 Regime</x:v>
      </x:c>
      <x:c r="D8" s="48" t="str">
        <x:v>Prompt 2 Total Score</x:v>
      </x:c>
      <x:c r="E8" s="48" t="str">
        <x:v>Prompt 2 Moat &amp; Quality</x:v>
      </x:c>
      <x:c r="F8" s="48" t="str">
        <x:v>Prompt 3 Valuation Rank</x:v>
      </x:c>
      <x:c r="G8" s="48" t="str">
        <x:v>Prompt 4 Decay Score</x:v>
      </x:c>
      <x:c r="H8" s="48" t="str">
        <x:v>Prompt 4 Velocity</x:v>
      </x:c>
      <x:c r="I8" s="48" t="str">
        <x:v>Prompt 5 Exit Ready</x:v>
      </x:c>
      <x:c r="J8" s="48" t="str">
        <x:v>Chain Status</x:v>
      </x:c>
      <x:c r="K8" s="48" t="str">
        <x:v>Final Decision</x:v>
      </x:c>
      <x:c r="L8" s="48" t="str">
        <x:v>Sizing Stance</x:v>
      </x:c>
      <x:c r="M8" s="48" t="str">
        <x:v>Key Risk</x:v>
      </x:c>
      <x:c r="N8" s="48" t="str">
        <x:v>Key Bull Point</x:v>
      </x:c>
      <x:c r="O8" s="48" t="str">
        <x:v>Verification Notes</x:v>
      </x:c>
    </x:row>
    <x:row r="9" ht="18" customHeight="1">
      <x:c r="A9" s="56"/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</x:row>
    <x:row r="10" ht="18" customHeight="1">
      <x:c r="A10" s="56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</x:row>
    <x:row r="11" ht="18" customHeight="1">
      <x:c r="A11" s="56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</x:row>
    <x:row r="12" ht="18" customHeight="1">
      <x:c r="A12" s="56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</x:row>
    <x:row r="13" ht="18" customHeight="1">
      <x:c r="A13" s="56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</x:row>
    <x:row r="14" ht="18" customHeight="1">
      <x:c r="A14" s="56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</x:row>
    <x:row r="15" ht="18" customHeight="1">
      <x:c r="A15" s="56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</x:row>
    <x:row r="16" ht="18" customHeight="1">
      <x:c r="A16" s="56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</x:row>
    <x:row r="17" ht="18" customHeight="1">
      <x:c r="A17" s="56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</x:row>
    <x:row r="18" ht="18" customHeight="1">
      <x:c r="A18" s="56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</x:row>
    <x:row r="19" ht="18" customHeight="1">
      <x:c r="A19" s="56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</x:row>
    <x:row r="20" ht="18" customHeight="1">
      <x:c r="A20" s="56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</x:row>
    <x:row r="21" ht="18" customHeight="1">
      <x:c r="A21" s="56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</x:row>
    <x:row r="22" ht="18" customHeight="1">
      <x:c r="A22" s="56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</x:row>
    <x:row r="23" ht="18" customHeight="1">
      <x:c r="A23" s="56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</x:row>
    <x:row r="24" ht="18" customHeight="1">
      <x:c r="A24" s="56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</x:row>
    <x:row r="25" ht="18" customHeight="1">
      <x:c r="A25" s="56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</x:row>
    <x:row r="26" ht="18" customHeight="1">
      <x:c r="A26" s="56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</x:row>
    <x:row r="27" ht="18" customHeight="1">
      <x:c r="A27" s="56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</x:row>
    <x:row r="28" ht="18" customHeight="1">
      <x:c r="A28" s="56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</x:row>
  </x:sheetData>
  <x:mergeCells>
    <x:mergeCell ref="A1:O1"/>
  </x:mergeCells>
  <x:conditionalFormatting sqref="K9:K28">
    <x:cfRule type="expression" dxfId="0" priority="1">
      <x:formula>$K9="ADVANCE"</x:formula>
    </x:cfRule>
    <x:cfRule type="expression" dxfId="1" priority="2">
      <x:formula>$K9="PASS"</x:formula>
    </x:cfRule>
  </x:conditionalFormatting>
  <x:conditionalFormatting sqref="L9:L28">
    <x:cfRule type="expression" dxfId="2" priority="3">
      <x:formula>$L9="Size up"</x:formula>
    </x:cfRule>
  </x:conditionalFormatting>
  <x:dataValidations count="5">
    <x:dataValidation type="list" sqref="I9:I28">
      <x:formula1>"Yes,No,Partial"</x:formula1>
    </x:dataValidation>
    <x:dataValidation type="list" sqref="J9:J28">
      <x:formula1>"Complete,Incomplete,Failed"</x:formula1>
    </x:dataValidation>
    <x:dataValidation type="list" sqref="K9:K28">
      <x:formula1>"ADVANCE,PASS,NEXT TICKER"</x:formula1>
    </x:dataValidation>
    <x:dataValidation type="list" sqref="L9:L28">
      <x:formula1>"Size up,Standard size,Watch only,Pass"</x:formula1>
    </x:dataValidation>
    <x:dataValidation type="list" sqref="H9:H28">
      <x:formula1>"ACCELERATING,STABLE,IMPROVING"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d814a9d86e4131"/>
  </x:tableParts>
</x:worksheet>
</file>