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Presli\Projects\analisator\"/>
    </mc:Choice>
  </mc:AlternateContent>
  <bookViews>
    <workbookView xWindow="0" yWindow="0" windowWidth="25125" windowHeight="11715"/>
  </bookViews>
  <sheets>
    <sheet name="2026-W18" sheetId="1" r:id="rId1"/>
  </sheets>
  <calcPr calcId="152511"/>
</workbook>
</file>

<file path=xl/calcChain.xml><?xml version="1.0" encoding="utf-8"?>
<calcChain xmlns="http://schemas.openxmlformats.org/spreadsheetml/2006/main">
  <c r="F23" i="1" l="1"/>
  <c r="G23" i="1" s="1"/>
  <c r="F22" i="1"/>
  <c r="G22" i="1" s="1"/>
  <c r="F21" i="1"/>
  <c r="G21" i="1" s="1"/>
  <c r="F20" i="1"/>
  <c r="G20" i="1" s="1"/>
  <c r="F19" i="1"/>
  <c r="G19" i="1" s="1"/>
  <c r="F18" i="1"/>
  <c r="G18" i="1" s="1"/>
  <c r="F17" i="1"/>
  <c r="G17" i="1" s="1"/>
  <c r="F16" i="1"/>
  <c r="G16" i="1" s="1"/>
  <c r="F15" i="1"/>
  <c r="G15" i="1" s="1"/>
  <c r="F14" i="1"/>
  <c r="G14" i="1" s="1"/>
  <c r="F13" i="1"/>
  <c r="G13" i="1" s="1"/>
  <c r="F12" i="1"/>
  <c r="G12" i="1" s="1"/>
  <c r="F11" i="1"/>
  <c r="G11" i="1" s="1"/>
  <c r="F10" i="1"/>
  <c r="G10" i="1" s="1"/>
  <c r="F9" i="1"/>
  <c r="G9" i="1" s="1"/>
</calcChain>
</file>

<file path=xl/sharedStrings.xml><?xml version="1.0" encoding="utf-8"?>
<sst xmlns="http://schemas.openxmlformats.org/spreadsheetml/2006/main" count="287" uniqueCount="195">
  <si>
    <t>Weekly Analysis Findings - 2026-W18</t>
  </si>
  <si>
    <t>Metric</t>
  </si>
  <si>
    <t>Value</t>
  </si>
  <si>
    <t>Week</t>
  </si>
  <si>
    <t>Bias</t>
  </si>
  <si>
    <t>Notes</t>
  </si>
  <si>
    <t>Advance Count</t>
  </si>
  <si>
    <t>2026-W18</t>
  </si>
  <si>
    <t>BUY DIPS</t>
  </si>
  <si>
    <t>Prompt 1 tape check: STRONG BULL</t>
  </si>
  <si>
    <t>Pass Count</t>
  </si>
  <si>
    <t>Primary Style</t>
  </si>
  <si>
    <t>V1 quality compounders</t>
  </si>
  <si>
    <t>Use V2 only selectively</t>
  </si>
  <si>
    <t>Watch Count</t>
  </si>
  <si>
    <t>Recorder</t>
  </si>
  <si>
    <t>Codex</t>
  </si>
  <si>
    <t>Single workbook only; unlock before edits if needed</t>
  </si>
  <si>
    <t>Best for long: 80+</t>
  </si>
  <si>
    <t>Best for long: &gt;13/25</t>
  </si>
  <si>
    <t>Best for long: 1 of 3</t>
  </si>
  <si>
    <t>Best for long: &lt;55</t>
  </si>
  <si>
    <t>Best for long: DECELERATING</t>
  </si>
  <si>
    <t>Best for long: Written plan</t>
  </si>
  <si>
    <t>Best for long: EUR mirror</t>
  </si>
  <si>
    <t>Date</t>
  </si>
  <si>
    <t>Ticker</t>
  </si>
  <si>
    <t>Current Price (EUR)</t>
  </si>
  <si>
    <t>Buy Price (EUR)</t>
  </si>
  <si>
    <t>Owned Shares</t>
  </si>
  <si>
    <t>Total Investment (EUR)</t>
  </si>
  <si>
    <t>Net Change (EUR)</t>
  </si>
  <si>
    <t>Trading Currency</t>
  </si>
  <si>
    <t>Prompt 1 Regime</t>
  </si>
  <si>
    <t>Prompt 2 Total Score</t>
  </si>
  <si>
    <t>Prompt 2 Moat &amp; Quality</t>
  </si>
  <si>
    <t>Prompt 3 Valuation Rank</t>
  </si>
  <si>
    <t>Prompt 4 Decay Score</t>
  </si>
  <si>
    <t>Prompt 4 Velocity</t>
  </si>
  <si>
    <t>Prompt 5 Exit Ready</t>
  </si>
  <si>
    <t>Prompt 5 Exit Ready (EUR)</t>
  </si>
  <si>
    <t>Chain Status</t>
  </si>
  <si>
    <t>Final Decision</t>
  </si>
  <si>
    <t>Sizing Stance</t>
  </si>
  <si>
    <t>Key Risk</t>
  </si>
  <si>
    <t>Key Bull Point</t>
  </si>
  <si>
    <t>Verification Notes</t>
  </si>
  <si>
    <t>AMD</t>
  </si>
  <si>
    <t>USD</t>
  </si>
  <si>
    <t>STRONG BULL</t>
  </si>
  <si>
    <t>65/100</t>
  </si>
  <si>
    <t>18/25</t>
  </si>
  <si>
    <t>2 of 3 (lost to NVDA)</t>
  </si>
  <si>
    <t>41/100</t>
  </si>
  <si>
    <t>DECELERATING</t>
  </si>
  <si>
    <t>Inv &lt;299.76 close / T1 352.99 / T2 380.44</t>
  </si>
  <si>
    <t>Inv &lt;255.94 EUR close / T1 301.39 EUR / T2 324.83 EUR</t>
  </si>
  <si>
    <t>Complete</t>
  </si>
  <si>
    <t>ADVANCE</t>
  </si>
  <si>
    <t>Very small share position</t>
  </si>
  <si>
    <t>Valuation disconnect: market cap moved above $500B while Q1 2026 guidance still called for a 5% sequential revenue decline and Q4 margin quality benefited from China MI308 sales plus an inventory-reserve release.</t>
  </si>
  <si>
    <t>2025 revenue rose from $7.4B in Q1 to $10.3B in Q4, gross margin recovered to 54%, and AMD ended 2025 with net cash and 16% FCF margin.</t>
  </si>
  <si>
    <t>NOW</t>
  </si>
  <si>
    <t>77/100</t>
  </si>
  <si>
    <t>22/25</t>
  </si>
  <si>
    <t>3 of 3 (lost to CRM, WDAY)</t>
  </si>
  <si>
    <t>44/100</t>
  </si>
  <si>
    <t>Inv &lt;83.00 close / T1 93.28 / T2 104.55</t>
  </si>
  <si>
    <t>Inv &lt;70.87 EUR close / T1 79.64 EUR / T2 89.27 EUR</t>
  </si>
  <si>
    <t>PASS</t>
  </si>
  <si>
    <t>Reduced share position</t>
  </si>
  <si>
    <t>Relative valuation was worst in comp set, and 2026 guide quality softened because Armis adds growth while pressuring gross margin, operating margin, and free-cash-flow margin.</t>
  </si>
  <si>
    <t>ServiceNow still compounded revenue above 20%, stayed net-cash, produced about $4.824B trailing FCF, and raised full-year subscription revenue guidance on Apr. 22, 2026.</t>
  </si>
  <si>
    <t>ELF</t>
  </si>
  <si>
    <t>70/100</t>
  </si>
  <si>
    <t>17/25</t>
  </si>
  <si>
    <t>2 of 3 (lost to ODD)</t>
  </si>
  <si>
    <t>48/100</t>
  </si>
  <si>
    <t>Inv &lt;61.14 close / T1 72.58 / T2 79.95</t>
  </si>
  <si>
    <t>Inv &lt;51.90 EUR close / T1 61.61 EUR / T2 67.87 EUR</t>
  </si>
  <si>
    <t>Small share position</t>
  </si>
  <si>
    <t>Organic growth quality is weaker than the headline because Rhode is doing most of the lifting, while margin durability and GAAP/non-GAAP quality remain real concerns.</t>
  </si>
  <si>
    <t>Growth re-accelerated sharply in Q3 FY2026, the company raised FY2026 guidance, and the business still has one of the strongest growth engines in beauty.</t>
  </si>
  <si>
    <t>ORCL</t>
  </si>
  <si>
    <t>68/100</t>
  </si>
  <si>
    <t>20/25</t>
  </si>
  <si>
    <t>2 of 3 (lost to SAP)</t>
  </si>
  <si>
    <t>53/100</t>
  </si>
  <si>
    <t>STABLE</t>
  </si>
  <si>
    <t>Inv &lt;161.56 close / T1 176.28 / T2 189.18</t>
  </si>
  <si>
    <t>Inv &lt;138.32 EUR close / T1 150.92 EUR / T2 161.97 EUR</t>
  </si>
  <si>
    <t>Watch only</t>
  </si>
  <si>
    <t>Oracle's capital intensity is still the core risk: trailing four-quarter free cash flow was negative, net debt remained very high, and a close below the 161-162 support shelf would reopen downside toward the April gap zone.</t>
  </si>
  <si>
    <t>Cloud growth accelerated to 44%, RPO reached $553B, and the stock is still well below its 2025 high, so a recovery back toward the 176-189 supply zone is plausible if support holds.</t>
  </si>
  <si>
    <t>HIMS</t>
  </si>
  <si>
    <t>66/100</t>
  </si>
  <si>
    <t>3 of 3 (lost to LFMD, TDOC)</t>
  </si>
  <si>
    <t>58/100</t>
  </si>
  <si>
    <t>Inv &lt;24.29 close / T1 29.78 / T2 37.69</t>
  </si>
  <si>
    <t>Inv &lt;20.80 EUR close / T1 25.50 EUR / T2 32.27 EUR</t>
  </si>
  <si>
    <t>Hims is still adapting its weight-loss model after shifting away from broadly marketed compounded GLP-1s, while valuation remains rich, short interest stays elevated, and fresh data-breach and acquisition/integration risks add event sensitivity ahead of May 11, 2026 earnings.</t>
  </si>
  <si>
    <t>The company still grew 2025 revenue 59% to $2.35B, guided 2026 revenue to $2.7B-$2.9B, built a 2.5M+ subscriber base, and has meaningful consumer-health brand and distribution scale that can support a rebound if execution stabilizes.</t>
  </si>
  <si>
    <t>AXP</t>
  </si>
  <si>
    <t>69/100</t>
  </si>
  <si>
    <t>21/25</t>
  </si>
  <si>
    <t>3 of 3 (lost to V, MA)</t>
  </si>
  <si>
    <t>49/100</t>
  </si>
  <si>
    <t>Inv &lt;300.18 close / T1 335.32 / T2 345.83</t>
  </si>
  <si>
    <t>Inv &lt;256.99 EUR close / T1 287.09 EUR / T2 296.09 EUR</t>
  </si>
  <si>
    <t>American Express is still an existing-position hold, but the reward looks capped unless it can reclaim the February gap zone; a daily close back under the early-April support shelf would signal the recovery has failed.</t>
  </si>
  <si>
    <t>The business remains healthy enough to justify holding a smaller position: spending, fees, and EPS are still growing double digits, and no company-confirmed binary event sits inside the next 30 days after the Apr. 23, 2026 earnings release.</t>
  </si>
  <si>
    <t>AMZN</t>
  </si>
  <si>
    <t>72/100</t>
  </si>
  <si>
    <t>3 of 3 (lost to MSFT, GOOGL)</t>
  </si>
  <si>
    <t>54/100</t>
  </si>
  <si>
    <t>Inv &lt;248.50 close / T1 264.50 / T2 281.16</t>
  </si>
  <si>
    <t>Inv &lt;212.76 EUR close / T1 226.46 EUR / T2 240.72 EUR</t>
  </si>
  <si>
    <t>Amazon is still a held-position name, but the stock is going into the confirmed Apr. 30, 2026 earnings event near 52-week highs, so a close back below the Apr. 15 breakout shelf would invalidate the latest leg and argue for tighter risk.</t>
  </si>
  <si>
    <t>If AWS and operating-margin execution hold, the stock still has room to retest and exceed the Apr. 24 high, with the consensus-target area around 281 providing a plausible runner objective.</t>
  </si>
  <si>
    <t>AIR</t>
  </si>
  <si>
    <t>EUR</t>
  </si>
  <si>
    <t>74/100</t>
  </si>
  <si>
    <t>1 of 3</t>
  </si>
  <si>
    <t>46/100</t>
  </si>
  <si>
    <t>Inv &lt;162.32 close / T1 175.22 / T2 193.80</t>
  </si>
  <si>
    <t>Inv &lt;162.32 EUR close / T1 175.22 EUR / T2 193.80 EUR</t>
  </si>
  <si>
    <t>Airbus still needs a sharp back-half delivery acceleration to hit its 2026 targets while absorbing engine shortages, Spirit work-package integration, tariff exposure and a much weaker Q1 free-cash-flow print than investors are used to.</t>
  </si>
  <si>
    <t>The company still has by far the strongest commercial-aircraft backlog, positive net cash, unchanged 2026 guidance and the cleanest valuation/risk profile in the peer set.</t>
  </si>
  <si>
    <t>MSFT</t>
  </si>
  <si>
    <t>81/100</t>
  </si>
  <si>
    <t>24/25</t>
  </si>
  <si>
    <t>45/100</t>
  </si>
  <si>
    <t>Inv &lt;393.11 close / T1 432.92 / T2 586.74</t>
  </si>
  <si>
    <t>Inv &lt;336.57 EUR close / T1 370.65 EUR / T2 502.35 EUR</t>
  </si>
  <si>
    <t>The main risk is valuation-and-execution concentration around AI: capital expenditures reached $83.09B TTM, Microsoft Cloud gross margin slipped to 67%, and the stock goes into the confirmed Apr. 29, 2026 earnings release with very high expectations for Azure and Copilot monetization.</t>
  </si>
  <si>
    <t>Microsoft still has the strongest combination of cloud growth, margins, balance-sheet resilience, and contractual demand visibility in the peer set, with Azure up 39%, commercial RPO at $625B, and TTM free cash flow of $77.41B.</t>
  </si>
  <si>
    <t>SAP</t>
  </si>
  <si>
    <t>78/100</t>
  </si>
  <si>
    <t>23/25</t>
  </si>
  <si>
    <t>43/100</t>
  </si>
  <si>
    <t>Inv &lt;160.66 close / T1 173.37 / T2 202.50</t>
  </si>
  <si>
    <t>Inv &lt;137.55 EUR close / T1 148.43 EUR / T2 173.37 EUR</t>
  </si>
  <si>
    <t>The main risk is execution around the cloud transition and the next event window: the stock is still far below its 2025 high, short interest has risen, and SAP Sapphire on May 11-13, 2026 sits within 30 days with investor expectations centered on AI and cloud-suite acceleration.</t>
  </si>
  <si>
    <t>SAP has one of the cleanest setups in enterprise software right now: current cloud backlog reached €21.9B, cloud revenue grew 19%, Cloud ERP Suite grew 23%, and the company still has net cash and strong free-cash-flow conversion.</t>
  </si>
  <si>
    <t>SLB</t>
  </si>
  <si>
    <t>2 of 3 (lost to HAL)</t>
  </si>
  <si>
    <t>57/100</t>
  </si>
  <si>
    <t>Inv &lt;52.31 close / T1 56.90 / T2 60.00</t>
  </si>
  <si>
    <t>Inv &lt;44.79 EUR close / T1 48.72 EUR / T2 51.37 EUR</t>
  </si>
  <si>
    <t>The main risk is that SLB's international engine was hit directly by the Middle East disruption, which compressed margins and exposed how little room is left for error when consensus upside is minimal and international revenue is still declining.</t>
  </si>
  <si>
    <t>SLB still has the strongest scale, technology breadth, and profitability profile in oilfield services, with North America up 26%, strong digital traction, and a likely multiyear benefit if energy security spending broadens after the current conflict shock.</t>
  </si>
  <si>
    <t>DTE</t>
  </si>
  <si>
    <t>76/100</t>
  </si>
  <si>
    <t>42/100</t>
  </si>
  <si>
    <t>Inv &lt;25.18 close / T1 29.50 / T2 32.40</t>
  </si>
  <si>
    <t>Inv &lt;25.18 EUR close / T1 29.50 EUR / T2 32.40 EUR</t>
  </si>
  <si>
    <t>The main risk is event timing and sentiment around the U.S. engine: Deutsche Telekom is heading into the confirmed May 13, 2026 Q1 release while investors are also reacting to T-Mobile US merger speculation, and the stock is still below its spring breakdown zone despite strong fundamentals.</t>
  </si>
  <si>
    <t>Deutsche Telekom exited 2025 with record free cash flow AL of €19.5B, adjusted EBITDA AL of €44.2B, guidance for further 2026 growth, and the strongest mix of scale, cash generation, and balance-sheet trajectory in the European telecom peer set.</t>
  </si>
  <si>
    <t>NVDA</t>
  </si>
  <si>
    <t>84/100</t>
  </si>
  <si>
    <t>47/100</t>
  </si>
  <si>
    <t>Inv &lt;199.64 close / T1 216.82 / T2 264.54</t>
  </si>
  <si>
    <t>Inv &lt;170.92 EUR close / T1 185.63 EUR / T2 226.49 EUR</t>
  </si>
  <si>
    <t>The main risk is concentration and expectations: Nvidia is entering the confirmed May 27, 2026 earnings release near all-time highs, with a $5T+ market cap and extremely high expectations around Blackwell, inference demand, and China/export-policy execution.</t>
  </si>
  <si>
    <t>NVIDIA still has the strongest growth and economics in the peer set, with FY2026 revenue up 65% to $215.9B, Q4 gross margin at 75.0%, Data Center revenue up 75% year over year, and a PEG ratio around 0.64 despite that scale.</t>
  </si>
  <si>
    <t>ZETA</t>
  </si>
  <si>
    <t>75/100</t>
  </si>
  <si>
    <t>19/25</t>
  </si>
  <si>
    <t>59/100</t>
  </si>
  <si>
    <t>Inv &lt;15.28 close / T1 18.09 / T2 22.23</t>
  </si>
  <si>
    <t>Inv &lt;13.08 EUR close / T1 15.49 EUR / T2 19.03 EUR</t>
  </si>
  <si>
    <t>The main risk is that the stock is still rebuilding trust and carries real event risk: it has elevated short interest, meaningful stock-based compensation and dilution, active securities litigation tied to the 2025 short-report dispute, and a confirmed April 30, 2026 earnings release one day away.</t>
  </si>
  <si>
    <t>Zeta still has one of the strongest growth-plus-cash-flow profiles in marketing software, with FY2025 revenue up 30% to $1.305B, operating cash flow up 49% to $199M, free cash flow up 78% to $165M, positive GAAP net income in Q4, and 2026 guidance lifted again.</t>
  </si>
  <si>
    <t>NMR</t>
  </si>
  <si>
    <t>51/100</t>
  </si>
  <si>
    <t>Inv &lt;7.36 close / T1 8.35 / T2 9.20</t>
  </si>
  <si>
    <t>Inv &lt;6.28 EUR close / T1 7.13 EUR / T2 7.86 EUR</t>
  </si>
  <si>
    <t>Standard share position</t>
  </si>
  <si>
    <t>The main risk is that Nomura is still a market-sensitive earnings stream: fourth-quarter pretax income fell sequentially, Wholesale pretax income dropped 31% quarter over quarter, and the ADR closed at $7.87 on April 24, 2026 after the release despite record full-year profit, showing how quickly sentiment can fade when trading and deal activity normalize.</t>
  </si>
  <si>
    <t>Nomura just posted record full-year net income of 362.1 billion yen, full-year ROE of 10.1%, all-time-high four-segment pretax income of 506.9 billion yen, and it paired that with a 51 yen annual dividend plus a 60 billion yen buyback that was essentially completed by April 15, 2026.</t>
  </si>
  <si>
    <t>Prompt 1 verified on 2026-04-29 using SPY trend, VIX, FRED 10Y, and sector leadership sources. Prompt 2 verified mainly against AMD Feb. 3, 2026 earnings release, Feb. 4, 2026 10-K, Mar. 27, 2026 proxy, and Apr. 8/17/28, 2026 Form 4 filings; short-interest and estimate-dispersion clues use secondary sources. Prompt 4 verified against AMD Q1-Q4 2025 earnings releases, Feb. 4, 2026 10-K, Feb. 3, 2026 earnings-call transcript, Apr. 8/17/28, 2026 Form 4 filings, and late-April 2026 market pages. Prompt 5 verified against AMD IR event notices dated Apr. 8 and Apr. 28, 2026 plus late-April price history/range pages; latest fully confirmed close available in-tool was Apr. 28, 2026. | Portfolio quote used: AMD NASDAQ delayed close on 2026-04-28, converted to EUR with ECB USD/EUR 2026-04-28 (1.1680).</t>
  </si>
  <si>
    <t>Prompt 2 verified against ServiceNow Q2 2025 through Q1 2026 earnings releases, 2025 10-K, SEC Form 4s, and market-data sources. Prompt 3 used Yahoo Finance, Macrotrends, TipRanks, and peer earnings releases for CRM and WDAY. Prompt 4 verified against ServiceNow Q1 2026 10-Q, transcript, Form 4s, and valuation history. Prompt 5 used verified April 2026 price history plus confirmed Analyst Day and annual-meeting dates. | Portfolio quote used: NOW NYSE delayed close on 2026-04-24, converted to EUR with ECB USD/EUR 2026-04-24 (1.1712).</t>
  </si>
  <si>
    <t>Prompt 2 verified against e.l.f. Beauty Q4 FY2025 through Q3 FY2026 releases, FY2025 10-K, FY2026 Q2/Q3 10-Qs, Form 4 filings, and market-data sources. Prompt 3 used StockAnalysis, TipRanks, Macrotrends, and peer filings for COTY and ODD. Prompt 4 verified against earnings releases, FY2026 Q2 10-Q, Q3 transcript, insider filings, short-interest sources, and valuation history. Prompt 5 used verified April 2026 price history plus third-party earnings-date context; no hard kill signal through Prompt 5. | Portfolio quote used: ELF NYSE delayed quote on 2026-04-15, converted to EUR with ECB USD/EUR 2026-04-15 (1.1780).</t>
  </si>
  <si>
    <t>Prompt 2 verified primarily against Oracle investor-relations releases dated Jun. 11, 2025, Sep. 9, 2025, Dec. 10, 2025, and Mar. 10, 2026; Oracle FY2025 10-K; Oracle Q1-Q3 FY2026 10-Q filings; and SEC Form 4 filings dated Apr. 17 and Apr. 20, 2026. Prompt 3 used Yahoo Finance, TipRanks, Macrotrends, and Oracle, Microsoft, and SAP releases for peer context. Prompt 4 verified Oracle's negative trailing free cash flow, debt load, and margin pressure against the Mar. 10, 2026 release and Q3 FY2026 10-Q. Prompt 5 used Apr. 28, 2026 price-history data, Oracle IR event pages, and ECB's Apr. 28, 2026 USD/EUR reference rate; Oracle's next earnings date was not yet company-confirmed as of Apr. 29, 2026. | Portfolio quote used: ORCL NYSE delayed close on 2026-04-28, converted to EUR with ECB USD/EUR 2026-04-28 (1.1680).</t>
  </si>
  <si>
    <t>Prompt 2 verified against Hims &amp; Hers Q1, Q3, and Q4/full-year 2025 earnings releases, the Feb. 23, 2026 Form 10-K, the Mar. 9, 2026 GLP-1 strategy shift release, the Feb. 25, 2026 Eucalyptus acquisition release, and secondary valuation/ownership/short-interest pages from StockAnalysis and Fintel. Prompt 3 used StockAnalysis overview/statistics pages for HIMS, LFMD, and TDOC plus LifeMD Mar. 9, 2026 results and Teladoc Feb. 25, 2026 results; hard kill triggered because HIMS ranked worst on valuation. Prompt 4 used the Mar. 9 and Mar. 26, 2026 Hims releases plus Apr. 2, 2026 breach reporting and Apr. 28, 2026 proxy context. Prompt 5 used Apr. 28, 2026 price history, confirmed May 11, 2026 earnings, and the ECB Apr. 28, 2026 USD/EUR rate. | Portfolio quote used: HIMS NYSE delayed quote on 2026-04-15, converted to EUR with ECB USD/EUR 2026-04-15 (1.1780).</t>
  </si>
  <si>
    <t>Prompt 2 verified against American Express Apr. 23, 2026 Q1 results, Feb. 6, 2026 10-K, Mar. 4, 2026 event notice, Jul. 1, 2025 stress-capital-buffer release, and secondary market-data pages. Prompt 3 used StockAnalysis valuation/target pages for AXP, Visa, and Mastercard plus peer earnings releases. Prompt 4 verified against the Apr. 23, 2026 earnings release and 10-Q. Prompt 5 used Apr. 15, 2026 and late-March/early-April 2026 price history plus the ECB Apr. 28, 2026 USD/EUR reference rate; no company-confirmed binary event within 30 days was identified after the Apr. 23, 2026 earnings report. | Portfolio quote used: AXP NYSE delayed quote on 2026-04-15, converted to EUR with ECB USD/EUR 2026-04-15 (1.1780).</t>
  </si>
  <si>
    <t>Prompt 2 verified against Amazon Feb. 5, 2026 Q4/full-year 2025 results, the Apr. 15, 2026 Q1 2026 earnings-date announcement, the Feb. 5, 2026 Form 10-K, and Apr. 2026 Form 4 filings. Prompt 3 used StockAnalysis valuation and target pages for AMZN, MSFT, and GOOGL plus Microsoft Jan. 28, 2026 FY26 Q2 results and Alphabet Feb. 4, 2026 Q4 2025 results. Prompt 4 used Amazon's 2025 10-K, Apr. 15, 2026 quote/target context, Apr. 21, 2026 CEO Form 4, and confirmed Apr. 30, 2026 earnings timing. Prompt 5 used Apr. 15-Apr. 28, 2026 price history from FinanceCharts, the confirmed Apr. 30, 2026 earnings date, StockAnalysis's 281.16 target snapshot, and the ECB Apr. 28, 2026 USD/EUR rate. | Portfolio quote used: AMZN NASDAQ delayed close on 2026-04-28, converted to EUR with ECB USD/EUR 2026-04-28 (1.1680).</t>
  </si>
  <si>
    <t>Prompt 2 verified against Airbus FY 2025 results published Feb. 19, 2026, Q1 2026 results published Apr. 28, 2026, and recent quote/valuation context from StockAnalysis and DAX market pages. Prompt 3 used Airbus Apr. 28, 2026 Q1 results, Boeing Apr. 22, 2026 Q1 results, Embraer Mar. 6, 2026 FY 2025 results and Apr. 2, 2026 delivery update, plus StockAnalysis valuation pages for AIR and BA. Prompt 4 used Airbus' Apr. 28, 2026 Q1 release, FY 2025 report, AGM materials, and same-day news coverage on Pratt &amp; Whitney bottlenecks; no accelerating decay signal was found. Prompt 5 used April 2026 AIR price history and AGM/earnings calendars; no company-confirmed binary event within the next 30 days remained after the Apr. 28, 2026 Q1 results and Apr. 14, 2026 AGM. | Portfolio quote used: AIR EPA delayed quote on 2026-04-15.</t>
  </si>
  <si>
    <t>Prompt 2 verified against Microsoft's Jan. 28, 2026 FY26 Q2 earnings release and segment/metrics pages, StockAnalysis statistics/overview pages, Fintel ownership context, and the confirmed Apr. 29, 2026 earnings date. Prompt 3 used StockAnalysis valuation and target pages for MSFT, GOOGL, and AMZN plus Microsoft's Jan. 28, 2026 results, Alphabet's Feb. 4, 2026 Q4 2025 results, and Amazon's Feb. 5, 2026 FY2025 results. Prompt 4 used Microsoft's Jan. 28, 2026 release and operating metrics, Apr. 2026 quote context, and Form 4/ownership signals; no accelerating decay signal was found. Prompt 5 used FinanceCharts Apr. 28, 2026 price history, StockAnalysis's Apr. 29, 2026 earnings-date and target snapshot, and the ECB Apr. 28, 2026 USD/EUR rate. | Portfolio quote used: MSFT NASDAQ delayed close on 2026-04-28, converted to EUR with ECB USD/EUR 2026-04-28 (1.1680).</t>
  </si>
  <si>
    <t>Prompt 2 verified against SAP's Apr. 23, 2026 Q1 results and 2025 Annual Report/20-F context, plus StockAnalysis statistics and overview pages. Prompt 3 used StockAnalysis valuation and target pages for SAP, CRM, and WDAY plus SAP Apr. 23, 2026 Q1 results, Salesforce FY26 Q1 results, and Workday Feb. 24, 2026 FY2026 Q4 results. Prompt 4 used SAP's Q1 release, market-data context, and ownership/short-interest signals; no accelerating decay signal was found. Prompt 5 used SAP April 2026 price history, the confirmed Apr. 23, 2026 earnings release, the confirmed SAP Sapphire Orlando dates of May 11-13, 2026, and the ECB Apr. 28, 2026 USD/EUR rate. | Portfolio quote used: SAP Xetra delayed quote on 2026-04-15.</t>
  </si>
  <si>
    <t>Prompt 2 verified against SLB's Apr. 24, 2026 Q1 results, Mar. 11, 2026 Middle East operations update, Jan. 23, 2026 FY2025 investor highlights, and StockAnalysis statistics/overview pages. Prompt 3 used StockAnalysis valuation and target pages for SLB, HAL, and BKR plus SLB Apr. 24, 2026 Q1 results, Halliburton Apr. 21, 2026 Q1 results, and Baker Hughes Apr. 23, 2026 Q1 results. Prompt 4 used SLB's Mar. 11 and Apr. 24, 2026 releases plus Apr. 27, 2026 market commentary on the post-earnings stock move; no accelerating decay signal was found. Prompt 5 used Apr. 27, 2026 price history/news context, FinanceCharts April 2026 support history, SLB events calendar, and the ECB Apr. 28, 2026 USD/EUR rate; no company-confirmed binary event within the next 30 days remained after the Apr. 24, 2026 earnings release. | Portfolio quote used: SLB NYSE delayed quote on 2026-04-15, converted to EUR with ECB USD/EUR 2026-04-15 (1.1780).</t>
  </si>
  <si>
    <t>Prompt 2 verified against Deutsche Telekom's Feb. 26, 2026 FY2025 report and 2025 Annual Report, the Feb. 4, 2026 consensus publication, and StockAnalysis DTE statistics/overview pages. Prompt 3 used StockAnalysis valuation pages for DTE, Orange, and Vodafone plus Deutsche Telekom FY2025 results, Orange FY2025 metrics page, and Vodafone quoted valuation context. Prompt 4 used FY2025 guidance, ownership/valuation context, and Apr. 29, 2026 market commentary tied to T-Mobile US results; no accelerating decay signal was found. Prompt 5 used April 2026 DTE price-history snapshots, the confirmed May 13, 2026 Q1 results date, and Deutsche Telekom's Apr. 1, 2026 AGM timing; because Q1 earnings are within 30 days, sizing is options preferred. | Portfolio quote used: DTE Xetra delayed quote on 2026-04-15.</t>
  </si>
  <si>
    <t>Prompt 2 verified against NVIDIA's Feb. 25, 2026 Q4/FY2026 results, the May 28, 2025 Q1 FY2026 release for the China-export charge context, StockAnalysis NVDA statistics/overview pages, and the confirmed May 27, 2026 earnings date. Prompt 3 used StockAnalysis valuation and target pages for NVDA, AMD, and AVGO plus NVIDIA FY2026 results and Broadcom's Dec. 11, 2025/Q1 FY2026 guidance release. Prompt 4 used NVIDIA's official results, valuation/ownership context, and recent price action; no accelerating decay signal was found. Prompt 5 used FinanceCharts Apr. 28, 2026 price history, StockAnalysis's current target snapshot, and the ECB Apr. 28, 2026 USD/EUR rate. | Portfolio quote used: NVDA NASDAQ delayed close on 2026-04-28, converted to EUR with ECB USD/EUR 2026-04-28 (1.1680).</t>
  </si>
  <si>
    <t>Prompt 2 verified against Zeta's Feb. 24, 2026 Q4/FY2025 results, Apr. 16, 2026 Q1 2026 earnings-date announcement, and the Feb. 25, 2026 Form 10-K. Prompt 3 used StockAnalysis valuation and target pages for ZETA, BRZE, and HUBS plus Braze Mar. 24, 2026 FY2026 Q4 results; Zeta ranked best on growth-adjusted valuation and cash-flow profile. Prompt 4 used the 10-K lawsuit disclosures, share-count and SBC trends, short-interest data, and current valuation context; no accelerating decay signal was found. Prompt 5 used April 2026 price-history snapshots, the confirmed Apr. 30, 2026 earnings date, and the ECB Apr. 28, 2026 USD/EUR rate. | Portfolio quote used: ZETA NYSE delayed quote on 2026-04-15, converted to EUR with ECB USD/EUR 2026-04-15 (1.1780).</t>
  </si>
  <si>
    <t>Prompt 2 verified against Nomura's Apr. 24, 2026 full-year results release, Apr. 10, 2026 regulatory capital release, Apr. 15, 2026 buyback completion notice, and the most recent available Form 20-F filed June 23, 2025. Prompt 3 used StockAnalysis quote/statistics pages for NMR, DSEEY, and MFG plus Mizuho's Feb. 2, 2026 Q3 summary and Daiwa's Apr. 27, 2026 FY2025 release timing; Nomura ranked best on the direct capital-markets comp because it combined stronger profitability and buyback-supported shareholder yield with a cheaper multiple than Daiwa and a cleaner pure-play setup than Mizuho. Prompt 4 used the Apr. 24, 2026 segment trends, including the quarter-over-quarter slowdown in Wholesale and the post-earnings ADR reaction; no accelerating decay signal was found. Prompt 5 used MarketBeat's Apr. 24, 2026 NMR close of $7.87, recent NMR historical-price snapshots from Investing.com, and the ECB Apr. 28, 2026 USD/EUR rate of 1.1680. | Portfolio quote used: NMR NYSE delayed close on 2026-04-24, converted to EUR with ECB USD/EUR 2026-04-24 (1.1712).</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</si>
</sst>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yyyy\-mm\-dd"/>
    <numFmt numFmtId="165" formatCode="\€#,##0.00"/>
    <numFmt numFmtId="166" formatCode="0.000"/>
  </numFmts>
  <fonts count="4">
    <font>
      <sz val="11"/>
      <name val="Carlito"/>
    </font>
    <font>
      <sz val="11"/>
      <color rgb="FF1F2937"/>
      <name val="Calibri"/>
    </font>
    <font>
      <b/>
      <sz val="11"/>
      <color rgb="FF102A43"/>
      <name val="Calibri"/>
    </font>
    <font>
      <i/>
      <sz val="10"/>
      <color rgb="FF52606D"/>
      <name val="Calibri"/>
    </font>
  </fonts>
  <fills count="5">
    <fill>
      <patternFill patternType="none"/>
    </fill>
    <fill>
      <patternFill patternType="gray125"/>
    </fill>
    <fill>
      <patternFill patternType="solid">
        <fgColor rgb="FFDCEAF7"/>
      </patternFill>
    </fill>
    <fill>
      <patternFill patternType="solid">
        <fgColor rgb="FFE8F1FB"/>
      </patternFill>
    </fill>
    <fill>
      <patternFill patternType="solid">
        <fgColor rgb="FFF3F6FA"/>
      </patternFill>
    </fill>
  </fills>
  <borders count="1">
    <border>
      <left/>
      <right/>
      <top/>
      <bottom/>
      <diagonal/>
    </border>
  </borders>
  <cellStyleXfs count="1">
    <xf numFmtId="0" fontId="0" fillId="0" borderId="0"/>
  </cellStyleXfs>
  <cellXfs count="9">
    <xf numFmtId="0" fontId="0" fillId="0" borderId="0" xfId="0"/>
    <xf numFmtId="0" fontId="1" fillId="0" borderId="0" xfId="0" applyNumberFormat="1" applyFont="1" applyFill="1" applyBorder="1" applyAlignment="1">
      <alignment vertical="top" wrapText="1"/>
    </xf>
    <xf numFmtId="0" fontId="2" fillId="2" borderId="0" xfId="0" applyNumberFormat="1" applyFont="1" applyFill="1" applyBorder="1" applyAlignment="1">
      <alignment horizontal="center" vertical="center" wrapText="1"/>
    </xf>
    <xf numFmtId="0" fontId="2" fillId="3" borderId="0" xfId="0" applyNumberFormat="1" applyFont="1" applyFill="1" applyBorder="1" applyAlignment="1">
      <alignment horizontal="center" vertical="center" wrapText="1"/>
    </xf>
    <xf numFmtId="0" fontId="3" fillId="4" borderId="0" xfId="0" applyNumberFormat="1" applyFont="1" applyFill="1" applyBorder="1" applyAlignment="1">
      <alignment horizontal="center" vertical="center" wrapText="1"/>
    </xf>
    <xf numFmtId="164" fontId="1" fillId="0" borderId="0" xfId="0" applyNumberFormat="1" applyFont="1" applyFill="1" applyBorder="1" applyAlignment="1">
      <alignment vertical="top" wrapText="1"/>
    </xf>
    <xf numFmtId="165" fontId="1" fillId="0" borderId="0" xfId="0" applyNumberFormat="1" applyFont="1" applyFill="1" applyBorder="1" applyAlignment="1">
      <alignment vertical="top" wrapText="1"/>
    </xf>
    <xf numFmtId="166" fontId="1" fillId="0" borderId="0" xfId="0" applyNumberFormat="1" applyFont="1" applyFill="1" applyBorder="1" applyAlignment="1">
      <alignment vertical="top" wrapText="1"/>
    </xf>
    <xf numFmtId="165" fontId="1" fillId="0" borderId="0" xfId="0" applyNumberFormat="1" applyFont="1" applyFill="1" applyBorder="1" applyAlignment="1">
      <alignment vertical="top" wrapText="1"/>
    </xf>
  </cellXfs>
  <cellStyles count="1">
    <cellStyle name="Normal" xfId="0" builtinId="0"/>
  </cellStyles>
  <dxfs count="8">
    <dxf>
      <font>
        <b/>
        <color rgb="FF374151"/>
      </font>
      <fill>
        <patternFill>
          <bgColor rgb="FFE5E7EB"/>
        </patternFill>
      </fill>
    </dxf>
    <dxf>
      <font>
        <b/>
        <color rgb="FF92400E"/>
      </font>
      <fill>
        <patternFill>
          <bgColor rgb="FFFEF3C7"/>
        </patternFill>
      </fill>
    </dxf>
    <dxf>
      <font>
        <b/>
        <color rgb="FF166534"/>
      </font>
      <fill>
        <patternFill>
          <bgColor rgb="FFDCFCE7"/>
        </patternFill>
      </fill>
    </dxf>
    <dxf>
      <font>
        <b/>
        <color rgb="FF991B1B"/>
      </font>
      <fill>
        <patternFill>
          <bgColor rgb="FFFEE2E2"/>
        </patternFill>
      </fill>
    </dxf>
    <dxf>
      <font>
        <b/>
        <color rgb="FF166534"/>
      </font>
      <fill>
        <patternFill>
          <bgColor rgb="FFDCFCE7"/>
        </patternFill>
      </fill>
    </dxf>
    <dxf>
      <font>
        <b/>
        <color rgb="FF374151"/>
      </font>
      <fill>
        <patternFill>
          <bgColor rgb="FFF3F4F6"/>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0"/>
  <sheetViews>
    <sheetView showGridLines="0" tabSelected="1" topLeftCell="A19" workbookViewId="0">
      <selection activeCell="J21" sqref="J21"/>
    </sheetView>
  </sheetViews>
  <sheetFormatPr defaultRowHeight="14.25"/>
  <cols>
    <col min="1" max="1" width="12.125" customWidth="1"/>
    <col min="2" max="2" width="10.75" customWidth="1"/>
    <col min="3" max="4" width="15" customWidth="1"/>
    <col min="5" max="5" width="12.875" customWidth="1"/>
    <col min="6" max="6" width="17.125" customWidth="1"/>
    <col min="7" max="7" width="16.375" customWidth="1"/>
    <col min="8" max="8" width="12.125" customWidth="1"/>
    <col min="9" max="9" width="14.25" customWidth="1"/>
    <col min="10" max="10" width="12.875" customWidth="1"/>
    <col min="11" max="11" width="15.75" customWidth="1"/>
    <col min="12" max="12" width="20.75" customWidth="1"/>
    <col min="13" max="13" width="12.875" customWidth="1"/>
    <col min="14" max="14" width="15" customWidth="1"/>
    <col min="15" max="15" width="27.875" customWidth="1"/>
    <col min="16" max="16" width="33.625" customWidth="1"/>
    <col min="17" max="18" width="12.875" customWidth="1"/>
    <col min="19" max="19" width="23.625" customWidth="1"/>
    <col min="20" max="21" width="39.25" customWidth="1"/>
    <col min="22" max="22" width="59.25" customWidth="1"/>
  </cols>
  <sheetData>
    <row r="1" spans="1:22" ht="60">
      <c r="A1" s="1" t="s">
        <v>0</v>
      </c>
      <c r="B1" s="1"/>
      <c r="C1" s="1"/>
      <c r="D1" s="1"/>
      <c r="E1" s="1"/>
      <c r="F1" s="1"/>
      <c r="G1" s="1"/>
      <c r="H1" s="1"/>
      <c r="I1" s="1"/>
      <c r="J1" s="1"/>
      <c r="K1" s="1"/>
      <c r="L1" s="1"/>
      <c r="M1" s="1"/>
      <c r="N1" s="1"/>
      <c r="O1" s="1"/>
      <c r="P1" s="1"/>
      <c r="Q1" s="1"/>
      <c r="R1" s="1"/>
      <c r="S1" s="1"/>
      <c r="T1" s="1"/>
      <c r="U1" s="1"/>
      <c r="V1" s="1"/>
    </row>
    <row r="2" spans="1:22" ht="15">
      <c r="A2" s="1"/>
      <c r="B2" s="1"/>
      <c r="C2" s="1"/>
      <c r="D2" s="1"/>
      <c r="E2" s="1"/>
      <c r="F2" s="1"/>
      <c r="G2" s="1"/>
      <c r="H2" s="1"/>
      <c r="I2" s="1"/>
      <c r="J2" s="1"/>
      <c r="K2" s="1"/>
      <c r="L2" s="1"/>
      <c r="M2" s="1"/>
      <c r="N2" s="1"/>
      <c r="O2" s="1"/>
      <c r="P2" s="1"/>
      <c r="Q2" s="1"/>
      <c r="R2" s="1"/>
      <c r="S2" s="1"/>
      <c r="T2" s="1"/>
      <c r="U2" s="1"/>
      <c r="V2" s="1"/>
    </row>
    <row r="3" spans="1:22" ht="15">
      <c r="A3" s="1" t="s">
        <v>1</v>
      </c>
      <c r="B3" s="1" t="s">
        <v>2</v>
      </c>
      <c r="C3" s="1"/>
      <c r="D3" s="1"/>
      <c r="E3" s="1"/>
      <c r="F3" s="1"/>
      <c r="G3" s="1"/>
      <c r="H3" s="1"/>
      <c r="I3" s="1" t="s">
        <v>3</v>
      </c>
      <c r="J3" s="1" t="s">
        <v>4</v>
      </c>
      <c r="K3" s="1" t="s">
        <v>5</v>
      </c>
      <c r="L3" s="1"/>
      <c r="M3" s="1"/>
      <c r="N3" s="1"/>
      <c r="O3" s="1"/>
      <c r="P3" s="1"/>
      <c r="Q3" s="1"/>
      <c r="R3" s="1"/>
      <c r="S3" s="1"/>
      <c r="T3" s="1"/>
      <c r="U3" s="1"/>
      <c r="V3" s="1"/>
    </row>
    <row r="4" spans="1:22" ht="45">
      <c r="A4" s="1" t="s">
        <v>6</v>
      </c>
      <c r="B4" s="1">
        <v>0</v>
      </c>
      <c r="C4" s="1"/>
      <c r="D4" s="1"/>
      <c r="E4" s="1"/>
      <c r="F4" s="1"/>
      <c r="G4" s="1"/>
      <c r="H4" s="1"/>
      <c r="I4" s="1" t="s">
        <v>7</v>
      </c>
      <c r="J4" s="1" t="s">
        <v>8</v>
      </c>
      <c r="K4" s="1" t="s">
        <v>9</v>
      </c>
      <c r="L4" s="1"/>
      <c r="M4" s="1"/>
      <c r="N4" s="1"/>
      <c r="O4" s="1"/>
      <c r="P4" s="1"/>
      <c r="Q4" s="1"/>
      <c r="R4" s="1"/>
      <c r="S4" s="1"/>
      <c r="T4" s="1"/>
      <c r="U4" s="1"/>
      <c r="V4" s="1"/>
    </row>
    <row r="5" spans="1:22" ht="30">
      <c r="A5" s="1" t="s">
        <v>10</v>
      </c>
      <c r="B5" s="1">
        <v>0</v>
      </c>
      <c r="C5" s="1"/>
      <c r="D5" s="1"/>
      <c r="E5" s="1"/>
      <c r="F5" s="1"/>
      <c r="G5" s="1"/>
      <c r="H5" s="1"/>
      <c r="I5" s="1" t="s">
        <v>11</v>
      </c>
      <c r="J5" s="1" t="s">
        <v>12</v>
      </c>
      <c r="K5" s="1" t="s">
        <v>13</v>
      </c>
      <c r="L5" s="1"/>
      <c r="M5" s="1"/>
      <c r="N5" s="1"/>
      <c r="O5" s="1"/>
      <c r="P5" s="1"/>
      <c r="Q5" s="1"/>
      <c r="R5" s="1"/>
      <c r="S5" s="1"/>
      <c r="T5" s="1"/>
      <c r="U5" s="1"/>
      <c r="V5" s="1"/>
    </row>
    <row r="6" spans="1:22" ht="60">
      <c r="A6" s="1" t="s">
        <v>14</v>
      </c>
      <c r="B6" s="1">
        <v>0</v>
      </c>
      <c r="C6" s="1"/>
      <c r="D6" s="1"/>
      <c r="E6" s="1"/>
      <c r="F6" s="1"/>
      <c r="G6" s="1"/>
      <c r="H6" s="1"/>
      <c r="I6" s="1" t="s">
        <v>15</v>
      </c>
      <c r="J6" s="1" t="s">
        <v>16</v>
      </c>
      <c r="K6" s="1" t="s">
        <v>17</v>
      </c>
      <c r="L6" s="1"/>
      <c r="M6" s="1"/>
      <c r="N6" s="1"/>
      <c r="O6" s="1"/>
      <c r="P6" s="1"/>
      <c r="Q6" s="1"/>
      <c r="R6" s="1"/>
      <c r="S6" s="1"/>
      <c r="T6" s="1"/>
      <c r="U6" s="1"/>
      <c r="V6" s="1"/>
    </row>
    <row r="7" spans="1:22" ht="24.4" customHeight="1">
      <c r="A7" s="1"/>
      <c r="B7" s="1"/>
      <c r="C7" s="1"/>
      <c r="D7" s="1"/>
      <c r="E7" s="1"/>
      <c r="F7" s="1"/>
      <c r="G7" s="1"/>
      <c r="H7" s="1"/>
      <c r="I7" s="1"/>
      <c r="J7" s="4" t="s">
        <v>18</v>
      </c>
      <c r="K7" s="4" t="s">
        <v>19</v>
      </c>
      <c r="L7" s="4" t="s">
        <v>20</v>
      </c>
      <c r="M7" s="4" t="s">
        <v>21</v>
      </c>
      <c r="N7" s="4" t="s">
        <v>22</v>
      </c>
      <c r="O7" s="4" t="s">
        <v>23</v>
      </c>
      <c r="P7" s="4" t="s">
        <v>24</v>
      </c>
      <c r="Q7" s="1"/>
      <c r="R7" s="1"/>
      <c r="S7" s="1"/>
      <c r="T7" s="1"/>
      <c r="U7" s="1"/>
      <c r="V7" s="1"/>
    </row>
    <row r="8" spans="1:22" ht="26.85" customHeight="1">
      <c r="A8" s="2" t="s">
        <v>25</v>
      </c>
      <c r="B8" s="2" t="s">
        <v>26</v>
      </c>
      <c r="C8" s="3" t="s">
        <v>27</v>
      </c>
      <c r="D8" s="3" t="s">
        <v>28</v>
      </c>
      <c r="E8" s="3" t="s">
        <v>29</v>
      </c>
      <c r="F8" s="3" t="s">
        <v>30</v>
      </c>
      <c r="G8" s="3" t="s">
        <v>31</v>
      </c>
      <c r="H8" s="2" t="s">
        <v>32</v>
      </c>
      <c r="I8" s="2" t="s">
        <v>33</v>
      </c>
      <c r="J8" s="2" t="s">
        <v>34</v>
      </c>
      <c r="K8" s="2" t="s">
        <v>35</v>
      </c>
      <c r="L8" s="2" t="s">
        <v>36</v>
      </c>
      <c r="M8" s="2" t="s">
        <v>37</v>
      </c>
      <c r="N8" s="2" t="s">
        <v>38</v>
      </c>
      <c r="O8" s="2" t="s">
        <v>39</v>
      </c>
      <c r="P8" s="2" t="s">
        <v>40</v>
      </c>
      <c r="Q8" s="2" t="s">
        <v>41</v>
      </c>
      <c r="R8" s="2" t="s">
        <v>42</v>
      </c>
      <c r="S8" s="2" t="s">
        <v>43</v>
      </c>
      <c r="T8" s="2" t="s">
        <v>44</v>
      </c>
      <c r="U8" s="2" t="s">
        <v>45</v>
      </c>
      <c r="V8" s="2" t="s">
        <v>46</v>
      </c>
    </row>
    <row r="9" spans="1:22" ht="174.6" customHeight="1">
      <c r="A9" s="5">
        <v>46141</v>
      </c>
      <c r="B9" s="1" t="s">
        <v>47</v>
      </c>
      <c r="C9" s="8">
        <v>276.72000000000003</v>
      </c>
      <c r="D9" s="6">
        <v>272.67</v>
      </c>
      <c r="E9" s="7">
        <v>54.16</v>
      </c>
      <c r="F9" s="6">
        <f t="shared" ref="F9:F23" si="0">IF(OR(D9="",E9=""),"",D9*E9)</f>
        <v>14767.807199999999</v>
      </c>
      <c r="G9" s="6">
        <f t="shared" ref="G9:G23" si="1">IF(OR(C9="",D9="",E9=""),"",C9*E9-F9)</f>
        <v>219.34800000000178</v>
      </c>
      <c r="H9" s="1" t="s">
        <v>48</v>
      </c>
      <c r="I9" s="1" t="s">
        <v>49</v>
      </c>
      <c r="J9" s="1" t="s">
        <v>50</v>
      </c>
      <c r="K9" s="1" t="s">
        <v>51</v>
      </c>
      <c r="L9" s="1" t="s">
        <v>52</v>
      </c>
      <c r="M9" s="1" t="s">
        <v>53</v>
      </c>
      <c r="N9" s="1" t="s">
        <v>54</v>
      </c>
      <c r="O9" s="1" t="s">
        <v>55</v>
      </c>
      <c r="P9" s="1" t="s">
        <v>56</v>
      </c>
      <c r="Q9" s="1" t="s">
        <v>57</v>
      </c>
      <c r="R9" s="1" t="s">
        <v>58</v>
      </c>
      <c r="S9" s="1" t="s">
        <v>59</v>
      </c>
      <c r="T9" s="1" t="s">
        <v>60</v>
      </c>
      <c r="U9" s="1" t="s">
        <v>61</v>
      </c>
      <c r="V9" s="1" t="s">
        <v>180</v>
      </c>
    </row>
    <row r="10" spans="1:22" ht="120.75" customHeight="1">
      <c r="A10" s="5">
        <v>46141</v>
      </c>
      <c r="B10" s="1" t="s">
        <v>62</v>
      </c>
      <c r="C10" s="8">
        <v>76.989999999999995</v>
      </c>
      <c r="D10" s="6">
        <v>86.37</v>
      </c>
      <c r="E10" s="7">
        <v>41</v>
      </c>
      <c r="F10" s="6">
        <f t="shared" si="0"/>
        <v>3541.17</v>
      </c>
      <c r="G10" s="6">
        <f t="shared" si="1"/>
        <v>-384.58000000000038</v>
      </c>
      <c r="H10" s="1" t="s">
        <v>48</v>
      </c>
      <c r="I10" s="1" t="s">
        <v>49</v>
      </c>
      <c r="J10" s="1" t="s">
        <v>63</v>
      </c>
      <c r="K10" s="1" t="s">
        <v>64</v>
      </c>
      <c r="L10" s="1" t="s">
        <v>65</v>
      </c>
      <c r="M10" s="1" t="s">
        <v>66</v>
      </c>
      <c r="N10" s="1" t="s">
        <v>54</v>
      </c>
      <c r="O10" s="1" t="s">
        <v>67</v>
      </c>
      <c r="P10" s="1" t="s">
        <v>68</v>
      </c>
      <c r="Q10" s="1" t="s">
        <v>57</v>
      </c>
      <c r="R10" s="1" t="s">
        <v>69</v>
      </c>
      <c r="S10" s="1" t="s">
        <v>70</v>
      </c>
      <c r="T10" s="1" t="s">
        <v>71</v>
      </c>
      <c r="U10" s="1" t="s">
        <v>72</v>
      </c>
      <c r="V10" s="1" t="s">
        <v>181</v>
      </c>
    </row>
    <row r="11" spans="1:22" ht="134.25" customHeight="1">
      <c r="A11" s="5">
        <v>46141</v>
      </c>
      <c r="B11" s="1" t="s">
        <v>73</v>
      </c>
      <c r="C11" s="8">
        <v>59.07</v>
      </c>
      <c r="D11" s="6">
        <v>56.28</v>
      </c>
      <c r="E11" s="7">
        <v>60</v>
      </c>
      <c r="F11" s="6">
        <f t="shared" si="0"/>
        <v>3376.8</v>
      </c>
      <c r="G11" s="6">
        <f t="shared" si="1"/>
        <v>167.39999999999964</v>
      </c>
      <c r="H11" s="1" t="s">
        <v>48</v>
      </c>
      <c r="I11" s="1" t="s">
        <v>49</v>
      </c>
      <c r="J11" s="1" t="s">
        <v>74</v>
      </c>
      <c r="K11" s="1" t="s">
        <v>75</v>
      </c>
      <c r="L11" s="1" t="s">
        <v>76</v>
      </c>
      <c r="M11" s="1" t="s">
        <v>77</v>
      </c>
      <c r="N11" s="1" t="s">
        <v>54</v>
      </c>
      <c r="O11" s="1" t="s">
        <v>78</v>
      </c>
      <c r="P11" s="1" t="s">
        <v>79</v>
      </c>
      <c r="Q11" s="1" t="s">
        <v>57</v>
      </c>
      <c r="R11" s="1" t="s">
        <v>58</v>
      </c>
      <c r="S11" s="1" t="s">
        <v>80</v>
      </c>
      <c r="T11" s="1" t="s">
        <v>81</v>
      </c>
      <c r="U11" s="1" t="s">
        <v>82</v>
      </c>
      <c r="V11" s="1" t="s">
        <v>182</v>
      </c>
    </row>
    <row r="12" spans="1:22" ht="174.6" customHeight="1">
      <c r="A12" s="5">
        <v>46141</v>
      </c>
      <c r="B12" s="1" t="s">
        <v>83</v>
      </c>
      <c r="C12" s="8">
        <v>142.09</v>
      </c>
      <c r="D12" s="6">
        <v>160.41</v>
      </c>
      <c r="E12" s="7">
        <v>20.04</v>
      </c>
      <c r="F12" s="6">
        <f t="shared" si="0"/>
        <v>3214.6163999999999</v>
      </c>
      <c r="G12" s="6">
        <f t="shared" si="1"/>
        <v>-367.13279999999986</v>
      </c>
      <c r="H12" s="1" t="s">
        <v>48</v>
      </c>
      <c r="I12" s="1" t="s">
        <v>49</v>
      </c>
      <c r="J12" s="1" t="s">
        <v>84</v>
      </c>
      <c r="K12" s="1" t="s">
        <v>85</v>
      </c>
      <c r="L12" s="1" t="s">
        <v>86</v>
      </c>
      <c r="M12" s="1" t="s">
        <v>87</v>
      </c>
      <c r="N12" s="1" t="s">
        <v>88</v>
      </c>
      <c r="O12" s="1" t="s">
        <v>89</v>
      </c>
      <c r="P12" s="1" t="s">
        <v>90</v>
      </c>
      <c r="Q12" s="1" t="s">
        <v>57</v>
      </c>
      <c r="R12" s="1" t="s">
        <v>58</v>
      </c>
      <c r="S12" s="1" t="s">
        <v>91</v>
      </c>
      <c r="T12" s="1" t="s">
        <v>92</v>
      </c>
      <c r="U12" s="1" t="s">
        <v>93</v>
      </c>
      <c r="V12" s="1" t="s">
        <v>183</v>
      </c>
    </row>
    <row r="13" spans="1:22" ht="187.9" customHeight="1">
      <c r="A13" s="5">
        <v>46141</v>
      </c>
      <c r="B13" s="1" t="s">
        <v>94</v>
      </c>
      <c r="C13" s="8">
        <v>18.96</v>
      </c>
      <c r="D13" s="6">
        <v>24.55</v>
      </c>
      <c r="E13" s="7">
        <v>111</v>
      </c>
      <c r="F13" s="6">
        <f t="shared" si="0"/>
        <v>2725.05</v>
      </c>
      <c r="G13" s="6">
        <f t="shared" si="1"/>
        <v>-620.49000000000024</v>
      </c>
      <c r="H13" s="1" t="s">
        <v>48</v>
      </c>
      <c r="I13" s="1" t="s">
        <v>49</v>
      </c>
      <c r="J13" s="1" t="s">
        <v>95</v>
      </c>
      <c r="K13" s="1" t="s">
        <v>75</v>
      </c>
      <c r="L13" s="1" t="s">
        <v>96</v>
      </c>
      <c r="M13" s="1" t="s">
        <v>97</v>
      </c>
      <c r="N13" s="1" t="s">
        <v>88</v>
      </c>
      <c r="O13" s="1" t="s">
        <v>98</v>
      </c>
      <c r="P13" s="1" t="s">
        <v>99</v>
      </c>
      <c r="Q13" s="1" t="s">
        <v>57</v>
      </c>
      <c r="R13" s="1" t="s">
        <v>69</v>
      </c>
      <c r="S13" s="1" t="s">
        <v>70</v>
      </c>
      <c r="T13" s="1" t="s">
        <v>100</v>
      </c>
      <c r="U13" s="1" t="s">
        <v>101</v>
      </c>
      <c r="V13" s="1" t="s">
        <v>184</v>
      </c>
    </row>
    <row r="14" spans="1:22" ht="147.75" customHeight="1">
      <c r="A14" s="5">
        <v>46141</v>
      </c>
      <c r="B14" s="1" t="s">
        <v>102</v>
      </c>
      <c r="C14" s="8">
        <v>281.33</v>
      </c>
      <c r="D14" s="6">
        <v>270.7</v>
      </c>
      <c r="E14" s="7">
        <v>10</v>
      </c>
      <c r="F14" s="6">
        <f t="shared" si="0"/>
        <v>2707</v>
      </c>
      <c r="G14" s="6">
        <f t="shared" si="1"/>
        <v>106.29999999999973</v>
      </c>
      <c r="H14" s="1" t="s">
        <v>48</v>
      </c>
      <c r="I14" s="1" t="s">
        <v>49</v>
      </c>
      <c r="J14" s="1" t="s">
        <v>103</v>
      </c>
      <c r="K14" s="1" t="s">
        <v>104</v>
      </c>
      <c r="L14" s="1" t="s">
        <v>105</v>
      </c>
      <c r="M14" s="1" t="s">
        <v>106</v>
      </c>
      <c r="N14" s="1" t="s">
        <v>88</v>
      </c>
      <c r="O14" s="1" t="s">
        <v>107</v>
      </c>
      <c r="P14" s="1" t="s">
        <v>108</v>
      </c>
      <c r="Q14" s="1" t="s">
        <v>57</v>
      </c>
      <c r="R14" s="1" t="s">
        <v>69</v>
      </c>
      <c r="S14" s="1" t="s">
        <v>70</v>
      </c>
      <c r="T14" s="1" t="s">
        <v>109</v>
      </c>
      <c r="U14" s="1" t="s">
        <v>110</v>
      </c>
      <c r="V14" s="1" t="s">
        <v>185</v>
      </c>
    </row>
    <row r="15" spans="1:22" ht="174.6" customHeight="1">
      <c r="A15" s="5">
        <v>46141</v>
      </c>
      <c r="B15" s="1" t="s">
        <v>111</v>
      </c>
      <c r="C15" s="8">
        <v>222.35</v>
      </c>
      <c r="D15" s="6">
        <v>183.68</v>
      </c>
      <c r="E15" s="7">
        <v>5</v>
      </c>
      <c r="F15" s="6">
        <f t="shared" si="0"/>
        <v>918.40000000000009</v>
      </c>
      <c r="G15" s="6">
        <f t="shared" si="1"/>
        <v>193.34999999999991</v>
      </c>
      <c r="H15" s="1" t="s">
        <v>48</v>
      </c>
      <c r="I15" s="1" t="s">
        <v>49</v>
      </c>
      <c r="J15" s="1" t="s">
        <v>112</v>
      </c>
      <c r="K15" s="1" t="s">
        <v>64</v>
      </c>
      <c r="L15" s="1" t="s">
        <v>113</v>
      </c>
      <c r="M15" s="1" t="s">
        <v>114</v>
      </c>
      <c r="N15" s="1" t="s">
        <v>88</v>
      </c>
      <c r="O15" s="1" t="s">
        <v>115</v>
      </c>
      <c r="P15" s="1" t="s">
        <v>116</v>
      </c>
      <c r="Q15" s="1" t="s">
        <v>57</v>
      </c>
      <c r="R15" s="1" t="s">
        <v>69</v>
      </c>
      <c r="S15" s="1" t="s">
        <v>70</v>
      </c>
      <c r="T15" s="1" t="s">
        <v>117</v>
      </c>
      <c r="U15" s="1" t="s">
        <v>118</v>
      </c>
      <c r="V15" s="1" t="s">
        <v>186</v>
      </c>
    </row>
    <row r="16" spans="1:22" ht="174.6" customHeight="1">
      <c r="A16" s="5">
        <v>46141</v>
      </c>
      <c r="B16" s="1" t="s">
        <v>119</v>
      </c>
      <c r="C16" s="8">
        <v>171.68</v>
      </c>
      <c r="D16" s="6">
        <v>170.06</v>
      </c>
      <c r="E16" s="7">
        <v>10</v>
      </c>
      <c r="F16" s="6">
        <f t="shared" si="0"/>
        <v>1700.6</v>
      </c>
      <c r="G16" s="6">
        <f t="shared" si="1"/>
        <v>16.200000000000273</v>
      </c>
      <c r="H16" s="1" t="s">
        <v>120</v>
      </c>
      <c r="I16" s="1" t="s">
        <v>49</v>
      </c>
      <c r="J16" s="1" t="s">
        <v>121</v>
      </c>
      <c r="K16" s="1" t="s">
        <v>64</v>
      </c>
      <c r="L16" s="1" t="s">
        <v>122</v>
      </c>
      <c r="M16" s="1" t="s">
        <v>123</v>
      </c>
      <c r="N16" s="1" t="s">
        <v>88</v>
      </c>
      <c r="O16" s="1" t="s">
        <v>124</v>
      </c>
      <c r="P16" s="1" t="s">
        <v>125</v>
      </c>
      <c r="Q16" s="1" t="s">
        <v>57</v>
      </c>
      <c r="R16" s="1" t="s">
        <v>58</v>
      </c>
      <c r="S16" s="1" t="s">
        <v>91</v>
      </c>
      <c r="T16" s="1" t="s">
        <v>126</v>
      </c>
      <c r="U16" s="1" t="s">
        <v>127</v>
      </c>
      <c r="V16" s="1" t="s">
        <v>187</v>
      </c>
    </row>
    <row r="17" spans="1:22" ht="187.9" customHeight="1">
      <c r="A17" s="5">
        <v>46141</v>
      </c>
      <c r="B17" s="1" t="s">
        <v>128</v>
      </c>
      <c r="C17" s="8">
        <v>367.51</v>
      </c>
      <c r="D17" s="6">
        <v>324</v>
      </c>
      <c r="E17" s="7">
        <v>4</v>
      </c>
      <c r="F17" s="6">
        <f t="shared" si="0"/>
        <v>1296</v>
      </c>
      <c r="G17" s="6">
        <f t="shared" si="1"/>
        <v>174.03999999999996</v>
      </c>
      <c r="H17" s="1" t="s">
        <v>48</v>
      </c>
      <c r="I17" s="1" t="s">
        <v>49</v>
      </c>
      <c r="J17" s="1" t="s">
        <v>129</v>
      </c>
      <c r="K17" s="1" t="s">
        <v>130</v>
      </c>
      <c r="L17" s="1" t="s">
        <v>122</v>
      </c>
      <c r="M17" s="1" t="s">
        <v>131</v>
      </c>
      <c r="N17" s="1" t="s">
        <v>88</v>
      </c>
      <c r="O17" s="1" t="s">
        <v>132</v>
      </c>
      <c r="P17" s="1" t="s">
        <v>133</v>
      </c>
      <c r="Q17" s="1" t="s">
        <v>57</v>
      </c>
      <c r="R17" s="1" t="s">
        <v>58</v>
      </c>
      <c r="S17" s="1" t="s">
        <v>80</v>
      </c>
      <c r="T17" s="1" t="s">
        <v>134</v>
      </c>
      <c r="U17" s="1" t="s">
        <v>135</v>
      </c>
      <c r="V17" s="1" t="s">
        <v>188</v>
      </c>
    </row>
    <row r="18" spans="1:22" ht="147.75" customHeight="1">
      <c r="A18" s="5">
        <v>46141</v>
      </c>
      <c r="B18" s="1" t="s">
        <v>136</v>
      </c>
      <c r="C18" s="8">
        <v>146.54</v>
      </c>
      <c r="D18" s="6">
        <v>139.26</v>
      </c>
      <c r="E18" s="7">
        <v>10</v>
      </c>
      <c r="F18" s="6">
        <f t="shared" si="0"/>
        <v>1392.6</v>
      </c>
      <c r="G18" s="6">
        <f t="shared" si="1"/>
        <v>72.799999999999955</v>
      </c>
      <c r="H18" s="1" t="s">
        <v>48</v>
      </c>
      <c r="I18" s="1" t="s">
        <v>49</v>
      </c>
      <c r="J18" s="1" t="s">
        <v>137</v>
      </c>
      <c r="K18" s="1" t="s">
        <v>138</v>
      </c>
      <c r="L18" s="1" t="s">
        <v>122</v>
      </c>
      <c r="M18" s="1" t="s">
        <v>139</v>
      </c>
      <c r="N18" s="1" t="s">
        <v>88</v>
      </c>
      <c r="O18" s="1" t="s">
        <v>140</v>
      </c>
      <c r="P18" s="1" t="s">
        <v>141</v>
      </c>
      <c r="Q18" s="1" t="s">
        <v>57</v>
      </c>
      <c r="R18" s="1" t="s">
        <v>58</v>
      </c>
      <c r="S18" s="1" t="s">
        <v>80</v>
      </c>
      <c r="T18" s="1" t="s">
        <v>142</v>
      </c>
      <c r="U18" s="1" t="s">
        <v>143</v>
      </c>
      <c r="V18" s="1" t="s">
        <v>189</v>
      </c>
    </row>
    <row r="19" spans="1:22" ht="201.4" customHeight="1">
      <c r="A19" s="5">
        <v>46141</v>
      </c>
      <c r="B19" s="1" t="s">
        <v>144</v>
      </c>
      <c r="C19" s="8">
        <v>44.28</v>
      </c>
      <c r="D19" s="6">
        <v>44.94</v>
      </c>
      <c r="E19" s="7">
        <v>26</v>
      </c>
      <c r="F19" s="6">
        <f t="shared" si="0"/>
        <v>1168.44</v>
      </c>
      <c r="G19" s="6">
        <f t="shared" si="1"/>
        <v>-17.160000000000082</v>
      </c>
      <c r="H19" s="1" t="s">
        <v>48</v>
      </c>
      <c r="I19" s="1" t="s">
        <v>49</v>
      </c>
      <c r="J19" s="1" t="s">
        <v>84</v>
      </c>
      <c r="K19" s="1" t="s">
        <v>85</v>
      </c>
      <c r="L19" s="1" t="s">
        <v>145</v>
      </c>
      <c r="M19" s="1" t="s">
        <v>146</v>
      </c>
      <c r="N19" s="1" t="s">
        <v>88</v>
      </c>
      <c r="O19" s="1" t="s">
        <v>147</v>
      </c>
      <c r="P19" s="1" t="s">
        <v>148</v>
      </c>
      <c r="Q19" s="1" t="s">
        <v>57</v>
      </c>
      <c r="R19" s="1" t="s">
        <v>58</v>
      </c>
      <c r="S19" s="1" t="s">
        <v>91</v>
      </c>
      <c r="T19" s="1" t="s">
        <v>149</v>
      </c>
      <c r="U19" s="1" t="s">
        <v>150</v>
      </c>
      <c r="V19" s="1" t="s">
        <v>190</v>
      </c>
    </row>
    <row r="20" spans="1:22" ht="174.6" customHeight="1">
      <c r="A20" s="5">
        <v>46141</v>
      </c>
      <c r="B20" s="1" t="s">
        <v>151</v>
      </c>
      <c r="C20" s="8">
        <v>28.55</v>
      </c>
      <c r="D20" s="6">
        <v>31.26</v>
      </c>
      <c r="E20" s="7">
        <v>40</v>
      </c>
      <c r="F20" s="6">
        <f t="shared" si="0"/>
        <v>1250.4000000000001</v>
      </c>
      <c r="G20" s="6">
        <f t="shared" si="1"/>
        <v>-108.40000000000009</v>
      </c>
      <c r="H20" s="1" t="s">
        <v>120</v>
      </c>
      <c r="I20" s="1" t="s">
        <v>49</v>
      </c>
      <c r="J20" s="1" t="s">
        <v>152</v>
      </c>
      <c r="K20" s="1" t="s">
        <v>64</v>
      </c>
      <c r="L20" s="1" t="s">
        <v>122</v>
      </c>
      <c r="M20" s="1" t="s">
        <v>153</v>
      </c>
      <c r="N20" s="1" t="s">
        <v>88</v>
      </c>
      <c r="O20" s="1" t="s">
        <v>154</v>
      </c>
      <c r="P20" s="1" t="s">
        <v>155</v>
      </c>
      <c r="Q20" s="1" t="s">
        <v>57</v>
      </c>
      <c r="R20" s="1" t="s">
        <v>58</v>
      </c>
      <c r="S20" s="1" t="s">
        <v>80</v>
      </c>
      <c r="T20" s="1" t="s">
        <v>156</v>
      </c>
      <c r="U20" s="1" t="s">
        <v>157</v>
      </c>
      <c r="V20" s="1" t="s">
        <v>191</v>
      </c>
    </row>
    <row r="21" spans="1:22" ht="174.6" customHeight="1">
      <c r="A21" s="5">
        <v>46141</v>
      </c>
      <c r="B21" s="1" t="s">
        <v>158</v>
      </c>
      <c r="C21" s="8">
        <v>182.51</v>
      </c>
      <c r="D21" s="6">
        <v>158.79</v>
      </c>
      <c r="E21" s="7">
        <v>3.3359999999999999</v>
      </c>
      <c r="F21" s="6">
        <f t="shared" si="0"/>
        <v>529.72343999999998</v>
      </c>
      <c r="G21" s="6">
        <f t="shared" si="1"/>
        <v>79.12991999999997</v>
      </c>
      <c r="H21" s="1" t="s">
        <v>48</v>
      </c>
      <c r="I21" s="1" t="s">
        <v>49</v>
      </c>
      <c r="J21" s="1" t="s">
        <v>159</v>
      </c>
      <c r="K21" s="1" t="s">
        <v>130</v>
      </c>
      <c r="L21" s="1" t="s">
        <v>122</v>
      </c>
      <c r="M21" s="1" t="s">
        <v>160</v>
      </c>
      <c r="N21" s="1" t="s">
        <v>88</v>
      </c>
      <c r="O21" s="1" t="s">
        <v>161</v>
      </c>
      <c r="P21" s="1" t="s">
        <v>162</v>
      </c>
      <c r="Q21" s="1" t="s">
        <v>57</v>
      </c>
      <c r="R21" s="1" t="s">
        <v>58</v>
      </c>
      <c r="S21" s="1" t="s">
        <v>80</v>
      </c>
      <c r="T21" s="1" t="s">
        <v>163</v>
      </c>
      <c r="U21" s="1" t="s">
        <v>164</v>
      </c>
      <c r="V21" s="1" t="s">
        <v>192</v>
      </c>
    </row>
    <row r="22" spans="1:22" ht="161.1" customHeight="1">
      <c r="A22" s="5">
        <v>46141</v>
      </c>
      <c r="B22" s="1" t="s">
        <v>165</v>
      </c>
      <c r="C22" s="8">
        <v>14.63</v>
      </c>
      <c r="D22" s="6">
        <v>15.87</v>
      </c>
      <c r="E22" s="7">
        <v>50</v>
      </c>
      <c r="F22" s="6">
        <f t="shared" si="0"/>
        <v>793.5</v>
      </c>
      <c r="G22" s="6">
        <f t="shared" si="1"/>
        <v>-62</v>
      </c>
      <c r="H22" s="1" t="s">
        <v>48</v>
      </c>
      <c r="I22" s="1" t="s">
        <v>49</v>
      </c>
      <c r="J22" s="1" t="s">
        <v>166</v>
      </c>
      <c r="K22" s="1" t="s">
        <v>167</v>
      </c>
      <c r="L22" s="1" t="s">
        <v>122</v>
      </c>
      <c r="M22" s="1" t="s">
        <v>168</v>
      </c>
      <c r="N22" s="1" t="s">
        <v>88</v>
      </c>
      <c r="O22" s="1" t="s">
        <v>169</v>
      </c>
      <c r="P22" s="1" t="s">
        <v>170</v>
      </c>
      <c r="Q22" s="1" t="s">
        <v>57</v>
      </c>
      <c r="R22" s="1" t="s">
        <v>58</v>
      </c>
      <c r="S22" s="1" t="s">
        <v>80</v>
      </c>
      <c r="T22" s="1" t="s">
        <v>171</v>
      </c>
      <c r="U22" s="1" t="s">
        <v>172</v>
      </c>
      <c r="V22" s="1" t="s">
        <v>193</v>
      </c>
    </row>
    <row r="23" spans="1:22" ht="228.2" customHeight="1">
      <c r="A23" s="5">
        <v>46141</v>
      </c>
      <c r="B23" s="1" t="s">
        <v>173</v>
      </c>
      <c r="C23" s="8">
        <v>6.72</v>
      </c>
      <c r="D23" s="6">
        <v>7.19</v>
      </c>
      <c r="E23" s="7">
        <v>100</v>
      </c>
      <c r="F23" s="6">
        <f t="shared" si="0"/>
        <v>719</v>
      </c>
      <c r="G23" s="6">
        <f t="shared" si="1"/>
        <v>-47</v>
      </c>
      <c r="H23" s="1" t="s">
        <v>48</v>
      </c>
      <c r="I23" s="1" t="s">
        <v>49</v>
      </c>
      <c r="J23" s="1" t="s">
        <v>121</v>
      </c>
      <c r="K23" s="1" t="s">
        <v>104</v>
      </c>
      <c r="L23" s="1" t="s">
        <v>122</v>
      </c>
      <c r="M23" s="1" t="s">
        <v>174</v>
      </c>
      <c r="N23" s="1" t="s">
        <v>88</v>
      </c>
      <c r="O23" s="1" t="s">
        <v>175</v>
      </c>
      <c r="P23" s="1" t="s">
        <v>176</v>
      </c>
      <c r="Q23" s="1" t="s">
        <v>57</v>
      </c>
      <c r="R23" s="1" t="s">
        <v>58</v>
      </c>
      <c r="S23" s="1" t="s">
        <v>177</v>
      </c>
      <c r="T23" s="1" t="s">
        <v>178</v>
      </c>
      <c r="U23" s="1" t="s">
        <v>179</v>
      </c>
      <c r="V23" s="1" t="s">
        <v>194</v>
      </c>
    </row>
    <row r="24" spans="1:22" ht="14.25" customHeight="1">
      <c r="A24" s="5"/>
      <c r="B24" s="1"/>
      <c r="C24" s="8"/>
      <c r="D24" s="6"/>
      <c r="E24" s="7"/>
      <c r="F24" s="6"/>
      <c r="G24" s="6"/>
      <c r="H24" s="1"/>
      <c r="I24" s="1"/>
      <c r="J24" s="1"/>
      <c r="K24" s="1"/>
      <c r="L24" s="1"/>
      <c r="M24" s="1"/>
      <c r="N24" s="1"/>
      <c r="O24" s="1"/>
      <c r="P24" s="1"/>
      <c r="Q24" s="1"/>
      <c r="R24" s="1"/>
      <c r="S24" s="1"/>
      <c r="T24" s="1"/>
      <c r="U24" s="1"/>
      <c r="V24" s="1"/>
    </row>
    <row r="25" spans="1:22" ht="14.25" customHeight="1">
      <c r="A25" s="5"/>
      <c r="B25" s="1"/>
      <c r="C25" s="8"/>
      <c r="D25" s="6"/>
      <c r="E25" s="7"/>
      <c r="F25" s="6"/>
      <c r="G25" s="6"/>
      <c r="H25" s="1"/>
      <c r="I25" s="1"/>
      <c r="J25" s="1"/>
      <c r="K25" s="1"/>
      <c r="L25" s="1"/>
      <c r="M25" s="1"/>
      <c r="N25" s="1"/>
      <c r="O25" s="1"/>
      <c r="P25" s="1"/>
      <c r="Q25" s="1"/>
      <c r="R25" s="1"/>
      <c r="S25" s="1"/>
      <c r="T25" s="1"/>
      <c r="U25" s="1"/>
      <c r="V25" s="1"/>
    </row>
    <row r="26" spans="1:22" ht="14.25" customHeight="1">
      <c r="A26" s="5"/>
      <c r="B26" s="1"/>
      <c r="C26" s="8"/>
      <c r="D26" s="6"/>
      <c r="E26" s="7"/>
      <c r="F26" s="6"/>
      <c r="G26" s="6"/>
      <c r="H26" s="1"/>
      <c r="I26" s="1"/>
      <c r="J26" s="1"/>
      <c r="K26" s="1"/>
      <c r="L26" s="1"/>
      <c r="M26" s="1"/>
      <c r="N26" s="1"/>
      <c r="O26" s="1"/>
      <c r="P26" s="1"/>
      <c r="Q26" s="1"/>
      <c r="R26" s="1"/>
      <c r="S26" s="1"/>
      <c r="T26" s="1"/>
      <c r="U26" s="1"/>
      <c r="V26" s="1"/>
    </row>
    <row r="27" spans="1:22" ht="14.25" customHeight="1">
      <c r="A27" s="5"/>
      <c r="B27" s="1"/>
      <c r="C27" s="8"/>
      <c r="D27" s="6"/>
      <c r="E27" s="7"/>
      <c r="F27" s="6"/>
      <c r="G27" s="6"/>
      <c r="H27" s="1"/>
      <c r="I27" s="1"/>
      <c r="J27" s="1"/>
      <c r="K27" s="1"/>
      <c r="L27" s="1"/>
      <c r="M27" s="1"/>
      <c r="N27" s="1"/>
      <c r="O27" s="1"/>
      <c r="P27" s="1"/>
      <c r="Q27" s="1"/>
      <c r="R27" s="1"/>
      <c r="S27" s="1"/>
      <c r="T27" s="1"/>
      <c r="U27" s="1"/>
      <c r="V27" s="1"/>
    </row>
    <row r="28" spans="1:22" ht="14.25" customHeight="1">
      <c r="A28" s="5"/>
      <c r="B28" s="1"/>
      <c r="C28" s="8"/>
      <c r="D28" s="6"/>
      <c r="E28" s="7"/>
      <c r="F28" s="6"/>
      <c r="G28" s="6"/>
      <c r="H28" s="1"/>
      <c r="I28" s="1"/>
      <c r="J28" s="1"/>
      <c r="K28" s="1"/>
      <c r="L28" s="1"/>
      <c r="M28" s="1"/>
      <c r="N28" s="1"/>
      <c r="O28" s="1"/>
      <c r="P28" s="1"/>
      <c r="Q28" s="1"/>
      <c r="R28" s="1"/>
      <c r="S28" s="1"/>
      <c r="T28" s="1"/>
      <c r="U28" s="1"/>
      <c r="V28" s="1"/>
    </row>
    <row r="29" spans="1:22" ht="14.25" customHeight="1">
      <c r="A29" s="5"/>
      <c r="B29" s="1"/>
      <c r="C29" s="8"/>
      <c r="D29" s="6"/>
      <c r="E29" s="7"/>
      <c r="F29" s="6"/>
      <c r="G29" s="6"/>
      <c r="H29" s="1"/>
      <c r="I29" s="1"/>
      <c r="J29" s="1"/>
      <c r="K29" s="1"/>
      <c r="L29" s="1"/>
      <c r="M29" s="1"/>
      <c r="N29" s="1"/>
      <c r="O29" s="1"/>
      <c r="P29" s="1"/>
      <c r="Q29" s="1"/>
      <c r="R29" s="1"/>
      <c r="S29" s="1"/>
      <c r="T29" s="1"/>
      <c r="U29" s="1"/>
      <c r="V29" s="1"/>
    </row>
    <row r="30" spans="1:22" ht="14.25" customHeight="1">
      <c r="A30" s="5"/>
      <c r="B30" s="1"/>
      <c r="C30" s="8"/>
      <c r="D30" s="6"/>
      <c r="E30" s="7"/>
      <c r="F30" s="6"/>
      <c r="G30" s="6"/>
      <c r="H30" s="1"/>
      <c r="I30" s="1"/>
      <c r="J30" s="1"/>
      <c r="K30" s="1"/>
      <c r="L30" s="1"/>
      <c r="M30" s="1"/>
      <c r="N30" s="1"/>
      <c r="O30" s="1"/>
      <c r="P30" s="1"/>
      <c r="Q30" s="1"/>
      <c r="R30" s="1"/>
      <c r="S30" s="1"/>
      <c r="T30" s="1"/>
      <c r="U30" s="1"/>
      <c r="V30" s="1"/>
    </row>
    <row r="31" spans="1:22" ht="14.25" customHeight="1">
      <c r="A31" s="5"/>
      <c r="B31" s="1"/>
      <c r="C31" s="8"/>
      <c r="D31" s="6"/>
      <c r="E31" s="7"/>
      <c r="F31" s="6"/>
      <c r="G31" s="6"/>
      <c r="H31" s="1"/>
      <c r="I31" s="1"/>
      <c r="J31" s="1"/>
      <c r="K31" s="1"/>
      <c r="L31" s="1"/>
      <c r="M31" s="1"/>
      <c r="N31" s="1"/>
      <c r="O31" s="1"/>
      <c r="P31" s="1"/>
      <c r="Q31" s="1"/>
      <c r="R31" s="1"/>
      <c r="S31" s="1"/>
      <c r="T31" s="1"/>
      <c r="U31" s="1"/>
      <c r="V31" s="1"/>
    </row>
    <row r="32" spans="1:22" ht="14.25" customHeight="1">
      <c r="A32" s="5"/>
      <c r="B32" s="1"/>
      <c r="C32" s="8"/>
      <c r="D32" s="6"/>
      <c r="E32" s="7"/>
      <c r="F32" s="6"/>
      <c r="G32" s="6"/>
      <c r="H32" s="1"/>
      <c r="I32" s="1"/>
      <c r="J32" s="1"/>
      <c r="K32" s="1"/>
      <c r="L32" s="1"/>
      <c r="M32" s="1"/>
      <c r="N32" s="1"/>
      <c r="O32" s="1"/>
      <c r="P32" s="1"/>
      <c r="Q32" s="1"/>
      <c r="R32" s="1"/>
      <c r="S32" s="1"/>
      <c r="T32" s="1"/>
      <c r="U32" s="1"/>
      <c r="V32" s="1"/>
    </row>
    <row r="33" spans="1:22" ht="14.25" customHeight="1">
      <c r="A33" s="5"/>
      <c r="B33" s="1"/>
      <c r="C33" s="8"/>
      <c r="D33" s="6"/>
      <c r="E33" s="7"/>
      <c r="F33" s="6"/>
      <c r="G33" s="6"/>
      <c r="H33" s="1"/>
      <c r="I33" s="1"/>
      <c r="J33" s="1"/>
      <c r="K33" s="1"/>
      <c r="L33" s="1"/>
      <c r="M33" s="1"/>
      <c r="N33" s="1"/>
      <c r="O33" s="1"/>
      <c r="P33" s="1"/>
      <c r="Q33" s="1"/>
      <c r="R33" s="1"/>
      <c r="S33" s="1"/>
      <c r="T33" s="1"/>
      <c r="U33" s="1"/>
      <c r="V33" s="1"/>
    </row>
    <row r="34" spans="1:22" ht="14.25" customHeight="1">
      <c r="A34" s="5"/>
      <c r="B34" s="1"/>
      <c r="C34" s="8"/>
      <c r="D34" s="6"/>
      <c r="E34" s="7"/>
      <c r="F34" s="6"/>
      <c r="G34" s="6"/>
      <c r="H34" s="1"/>
      <c r="I34" s="1"/>
      <c r="J34" s="1"/>
      <c r="K34" s="1"/>
      <c r="L34" s="1"/>
      <c r="M34" s="1"/>
      <c r="N34" s="1"/>
      <c r="O34" s="1"/>
      <c r="P34" s="1"/>
      <c r="Q34" s="1"/>
      <c r="R34" s="1"/>
      <c r="S34" s="1"/>
      <c r="T34" s="1"/>
      <c r="U34" s="1"/>
      <c r="V34" s="1"/>
    </row>
    <row r="35" spans="1:22" ht="14.25" customHeight="1">
      <c r="A35" s="5"/>
      <c r="B35" s="1"/>
      <c r="C35" s="8"/>
      <c r="D35" s="6"/>
      <c r="E35" s="7"/>
      <c r="F35" s="6"/>
      <c r="G35" s="6"/>
      <c r="H35" s="1"/>
      <c r="I35" s="1"/>
      <c r="J35" s="1"/>
      <c r="K35" s="1"/>
      <c r="L35" s="1"/>
      <c r="M35" s="1"/>
      <c r="N35" s="1"/>
      <c r="O35" s="1"/>
      <c r="P35" s="1"/>
      <c r="Q35" s="1"/>
      <c r="R35" s="1"/>
      <c r="S35" s="1"/>
      <c r="T35" s="1"/>
      <c r="U35" s="1"/>
      <c r="V35" s="1"/>
    </row>
    <row r="36" spans="1:22" ht="14.25" customHeight="1">
      <c r="A36" s="5"/>
      <c r="B36" s="1"/>
      <c r="C36" s="8"/>
      <c r="D36" s="6"/>
      <c r="E36" s="7"/>
      <c r="F36" s="6"/>
      <c r="G36" s="6"/>
      <c r="H36" s="1"/>
      <c r="I36" s="1"/>
      <c r="J36" s="1"/>
      <c r="K36" s="1"/>
      <c r="L36" s="1"/>
      <c r="M36" s="1"/>
      <c r="N36" s="1"/>
      <c r="O36" s="1"/>
      <c r="P36" s="1"/>
      <c r="Q36" s="1"/>
      <c r="R36" s="1"/>
      <c r="S36" s="1"/>
      <c r="T36" s="1"/>
      <c r="U36" s="1"/>
      <c r="V36" s="1"/>
    </row>
    <row r="37" spans="1:22" ht="14.25" customHeight="1">
      <c r="A37" s="5"/>
      <c r="B37" s="1"/>
      <c r="C37" s="8"/>
      <c r="D37" s="6"/>
      <c r="E37" s="7"/>
      <c r="F37" s="6"/>
      <c r="G37" s="6"/>
      <c r="H37" s="1"/>
      <c r="I37" s="1"/>
      <c r="J37" s="1"/>
      <c r="K37" s="1"/>
      <c r="L37" s="1"/>
      <c r="M37" s="1"/>
      <c r="N37" s="1"/>
      <c r="O37" s="1"/>
      <c r="P37" s="1"/>
      <c r="Q37" s="1"/>
      <c r="R37" s="1"/>
      <c r="S37" s="1"/>
      <c r="T37" s="1"/>
      <c r="U37" s="1"/>
      <c r="V37" s="1"/>
    </row>
    <row r="38" spans="1:22" ht="14.25" customHeight="1">
      <c r="A38" s="5"/>
      <c r="B38" s="1"/>
      <c r="C38" s="8"/>
      <c r="D38" s="6"/>
      <c r="E38" s="7"/>
      <c r="F38" s="6"/>
      <c r="G38" s="6"/>
      <c r="H38" s="1"/>
      <c r="I38" s="1"/>
      <c r="J38" s="1"/>
      <c r="K38" s="1"/>
      <c r="L38" s="1"/>
      <c r="M38" s="1"/>
      <c r="N38" s="1"/>
      <c r="O38" s="1"/>
      <c r="P38" s="1"/>
      <c r="Q38" s="1"/>
      <c r="R38" s="1"/>
      <c r="S38" s="1"/>
      <c r="T38" s="1"/>
      <c r="U38" s="1"/>
      <c r="V38" s="1"/>
    </row>
    <row r="39" spans="1:22" ht="14.25" customHeight="1">
      <c r="A39" s="5"/>
      <c r="B39" s="1"/>
      <c r="C39" s="8"/>
      <c r="D39" s="6"/>
      <c r="E39" s="7"/>
      <c r="F39" s="6"/>
      <c r="G39" s="6"/>
      <c r="H39" s="1"/>
      <c r="I39" s="1"/>
      <c r="J39" s="1"/>
      <c r="K39" s="1"/>
      <c r="L39" s="1"/>
      <c r="M39" s="1"/>
      <c r="N39" s="1"/>
      <c r="O39" s="1"/>
      <c r="P39" s="1"/>
      <c r="Q39" s="1"/>
      <c r="R39" s="1"/>
      <c r="S39" s="1"/>
      <c r="T39" s="1"/>
      <c r="U39" s="1"/>
      <c r="V39" s="1"/>
    </row>
    <row r="40" spans="1:22" ht="14.25" customHeight="1">
      <c r="A40" s="5"/>
      <c r="B40" s="1"/>
      <c r="C40" s="8"/>
      <c r="D40" s="6"/>
      <c r="E40" s="7"/>
      <c r="F40" s="6"/>
      <c r="G40" s="6"/>
      <c r="H40" s="1"/>
      <c r="I40" s="1"/>
      <c r="J40" s="1"/>
      <c r="K40" s="1"/>
      <c r="L40" s="1"/>
      <c r="M40" s="1"/>
      <c r="N40" s="1"/>
      <c r="O40" s="1"/>
      <c r="P40" s="1"/>
      <c r="Q40" s="1"/>
      <c r="R40" s="1"/>
      <c r="S40" s="1"/>
      <c r="T40" s="1"/>
      <c r="U40" s="1"/>
      <c r="V40" s="1"/>
    </row>
    <row r="41" spans="1:22" ht="15" customHeight="1">
      <c r="A41" s="5"/>
      <c r="B41" s="1"/>
      <c r="C41" s="6"/>
      <c r="D41" s="6"/>
      <c r="E41" s="7"/>
      <c r="F41" s="6"/>
      <c r="G41" s="6"/>
      <c r="H41" s="1"/>
      <c r="I41" s="1"/>
      <c r="J41" s="1"/>
      <c r="K41" s="1"/>
      <c r="L41" s="1"/>
      <c r="M41" s="1"/>
      <c r="N41" s="1"/>
      <c r="O41" s="1"/>
      <c r="P41" s="1"/>
      <c r="Q41" s="1"/>
      <c r="R41" s="1"/>
      <c r="S41" s="1"/>
      <c r="T41" s="1"/>
      <c r="U41" s="1"/>
      <c r="V41" s="1"/>
    </row>
    <row r="42" spans="1:22" ht="15" customHeight="1">
      <c r="A42" s="5"/>
      <c r="B42" s="1"/>
      <c r="C42" s="6"/>
      <c r="D42" s="6"/>
      <c r="E42" s="7"/>
      <c r="F42" s="6"/>
      <c r="G42" s="6"/>
      <c r="H42" s="1"/>
      <c r="I42" s="1"/>
      <c r="J42" s="1"/>
      <c r="K42" s="1"/>
      <c r="L42" s="1"/>
      <c r="M42" s="1"/>
      <c r="N42" s="1"/>
      <c r="O42" s="1"/>
      <c r="P42" s="1"/>
      <c r="Q42" s="1"/>
      <c r="R42" s="1"/>
      <c r="S42" s="1"/>
      <c r="T42" s="1"/>
      <c r="U42" s="1"/>
      <c r="V42" s="1"/>
    </row>
    <row r="43" spans="1:22" ht="15" customHeight="1">
      <c r="A43" s="5"/>
      <c r="B43" s="1"/>
      <c r="C43" s="6"/>
      <c r="D43" s="6"/>
      <c r="E43" s="7"/>
      <c r="F43" s="6"/>
      <c r="G43" s="6"/>
      <c r="H43" s="1"/>
      <c r="I43" s="1"/>
      <c r="J43" s="1"/>
      <c r="K43" s="1"/>
      <c r="L43" s="1"/>
      <c r="M43" s="1"/>
      <c r="N43" s="1"/>
      <c r="O43" s="1"/>
      <c r="P43" s="1"/>
      <c r="Q43" s="1"/>
      <c r="R43" s="1"/>
      <c r="S43" s="1"/>
      <c r="T43" s="1"/>
      <c r="U43" s="1"/>
      <c r="V43" s="1"/>
    </row>
    <row r="44" spans="1:22" ht="15" customHeight="1">
      <c r="A44" s="5"/>
      <c r="B44" s="1"/>
      <c r="C44" s="6"/>
      <c r="D44" s="6"/>
      <c r="E44" s="7"/>
      <c r="F44" s="6"/>
      <c r="G44" s="6"/>
      <c r="H44" s="1"/>
      <c r="I44" s="1"/>
      <c r="J44" s="1"/>
      <c r="K44" s="1"/>
      <c r="L44" s="1"/>
      <c r="M44" s="1"/>
      <c r="N44" s="1"/>
      <c r="O44" s="1"/>
      <c r="P44" s="1"/>
      <c r="Q44" s="1"/>
      <c r="R44" s="1"/>
      <c r="S44" s="1"/>
      <c r="T44" s="1"/>
      <c r="U44" s="1"/>
      <c r="V44" s="1"/>
    </row>
    <row r="45" spans="1:22" ht="15" customHeight="1">
      <c r="A45" s="5"/>
      <c r="B45" s="1"/>
      <c r="C45" s="6"/>
      <c r="D45" s="6"/>
      <c r="E45" s="7"/>
      <c r="F45" s="6"/>
      <c r="G45" s="6"/>
      <c r="H45" s="1"/>
      <c r="I45" s="1"/>
      <c r="J45" s="1"/>
      <c r="K45" s="1"/>
      <c r="L45" s="1"/>
      <c r="M45" s="1"/>
      <c r="N45" s="1"/>
      <c r="O45" s="1"/>
      <c r="P45" s="1"/>
      <c r="Q45" s="1"/>
      <c r="R45" s="1"/>
      <c r="S45" s="1"/>
      <c r="T45" s="1"/>
      <c r="U45" s="1"/>
      <c r="V45" s="1"/>
    </row>
    <row r="46" spans="1:22" ht="15" customHeight="1">
      <c r="A46" s="5"/>
      <c r="B46" s="1"/>
      <c r="C46" s="6"/>
      <c r="D46" s="6"/>
      <c r="E46" s="7"/>
      <c r="F46" s="6"/>
      <c r="G46" s="6"/>
      <c r="H46" s="1"/>
      <c r="I46" s="1"/>
      <c r="J46" s="1"/>
      <c r="K46" s="1"/>
      <c r="L46" s="1"/>
      <c r="M46" s="1"/>
      <c r="N46" s="1"/>
      <c r="O46" s="1"/>
      <c r="P46" s="1"/>
      <c r="Q46" s="1"/>
      <c r="R46" s="1"/>
      <c r="S46" s="1"/>
      <c r="T46" s="1"/>
      <c r="U46" s="1"/>
      <c r="V46" s="1"/>
    </row>
    <row r="47" spans="1:22" ht="15" customHeight="1">
      <c r="A47" s="5"/>
      <c r="B47" s="1"/>
      <c r="C47" s="6"/>
      <c r="D47" s="6"/>
      <c r="E47" s="7"/>
      <c r="F47" s="6"/>
      <c r="G47" s="6"/>
      <c r="H47" s="1"/>
      <c r="I47" s="1"/>
      <c r="J47" s="1"/>
      <c r="K47" s="1"/>
      <c r="L47" s="1"/>
      <c r="M47" s="1"/>
      <c r="N47" s="1"/>
      <c r="O47" s="1"/>
      <c r="P47" s="1"/>
      <c r="Q47" s="1"/>
      <c r="R47" s="1"/>
      <c r="S47" s="1"/>
      <c r="T47" s="1"/>
      <c r="U47" s="1"/>
      <c r="V47" s="1"/>
    </row>
    <row r="48" spans="1:22" ht="15" customHeight="1">
      <c r="A48" s="5"/>
      <c r="B48" s="1"/>
      <c r="C48" s="6"/>
      <c r="D48" s="6"/>
      <c r="E48" s="7"/>
      <c r="F48" s="6"/>
      <c r="G48" s="6"/>
      <c r="H48" s="1"/>
      <c r="I48" s="1"/>
      <c r="J48" s="1"/>
      <c r="K48" s="1"/>
      <c r="L48" s="1"/>
      <c r="M48" s="1"/>
      <c r="N48" s="1"/>
      <c r="O48" s="1"/>
      <c r="P48" s="1"/>
      <c r="Q48" s="1"/>
      <c r="R48" s="1"/>
      <c r="S48" s="1"/>
      <c r="T48" s="1"/>
      <c r="U48" s="1"/>
      <c r="V48" s="1"/>
    </row>
    <row r="49" spans="1:22" ht="15" customHeight="1">
      <c r="A49" s="5"/>
      <c r="B49" s="1"/>
      <c r="C49" s="6"/>
      <c r="D49" s="6"/>
      <c r="E49" s="7"/>
      <c r="F49" s="6"/>
      <c r="G49" s="6"/>
      <c r="H49" s="1"/>
      <c r="I49" s="1"/>
      <c r="J49" s="1"/>
      <c r="K49" s="1"/>
      <c r="L49" s="1"/>
      <c r="M49" s="1"/>
      <c r="N49" s="1"/>
      <c r="O49" s="1"/>
      <c r="P49" s="1"/>
      <c r="Q49" s="1"/>
      <c r="R49" s="1"/>
      <c r="S49" s="1"/>
      <c r="T49" s="1"/>
      <c r="U49" s="1"/>
      <c r="V49" s="1"/>
    </row>
    <row r="50" spans="1:22" ht="15" customHeight="1">
      <c r="A50" s="5"/>
      <c r="B50" s="1"/>
      <c r="C50" s="6"/>
      <c r="D50" s="6"/>
      <c r="E50" s="7"/>
      <c r="F50" s="6"/>
      <c r="G50" s="6"/>
      <c r="H50" s="1"/>
      <c r="I50" s="1"/>
      <c r="J50" s="1"/>
      <c r="K50" s="1"/>
      <c r="L50" s="1"/>
      <c r="M50" s="1"/>
      <c r="N50" s="1"/>
      <c r="O50" s="1"/>
      <c r="P50" s="1"/>
      <c r="Q50" s="1"/>
      <c r="R50" s="1"/>
      <c r="S50" s="1"/>
      <c r="T50" s="1"/>
      <c r="U50" s="1"/>
      <c r="V50" s="1"/>
    </row>
    <row r="51" spans="1:22" ht="15" customHeight="1">
      <c r="A51" s="5"/>
      <c r="B51" s="1"/>
      <c r="C51" s="6"/>
      <c r="D51" s="6"/>
      <c r="E51" s="7"/>
      <c r="F51" s="6"/>
      <c r="G51" s="6"/>
      <c r="H51" s="1"/>
      <c r="I51" s="1"/>
      <c r="J51" s="1"/>
      <c r="K51" s="1"/>
      <c r="L51" s="1"/>
      <c r="M51" s="1"/>
      <c r="N51" s="1"/>
      <c r="O51" s="1"/>
      <c r="P51" s="1"/>
      <c r="Q51" s="1"/>
      <c r="R51" s="1"/>
      <c r="S51" s="1"/>
      <c r="T51" s="1"/>
      <c r="U51" s="1"/>
      <c r="V51" s="1"/>
    </row>
    <row r="52" spans="1:22" ht="15" customHeight="1">
      <c r="A52" s="5"/>
      <c r="B52" s="1"/>
      <c r="C52" s="6"/>
      <c r="D52" s="6"/>
      <c r="E52" s="7"/>
      <c r="F52" s="6"/>
      <c r="G52" s="6"/>
      <c r="H52" s="1"/>
      <c r="I52" s="1"/>
      <c r="J52" s="1"/>
      <c r="K52" s="1"/>
      <c r="L52" s="1"/>
      <c r="M52" s="1"/>
      <c r="N52" s="1"/>
      <c r="O52" s="1"/>
      <c r="P52" s="1"/>
      <c r="Q52" s="1"/>
      <c r="R52" s="1"/>
      <c r="S52" s="1"/>
      <c r="T52" s="1"/>
      <c r="U52" s="1"/>
      <c r="V52" s="1"/>
    </row>
    <row r="53" spans="1:22" ht="15" customHeight="1">
      <c r="A53" s="5"/>
      <c r="B53" s="1"/>
      <c r="C53" s="6"/>
      <c r="D53" s="6"/>
      <c r="E53" s="7"/>
      <c r="F53" s="6"/>
      <c r="G53" s="6"/>
      <c r="H53" s="1"/>
      <c r="I53" s="1"/>
      <c r="J53" s="1"/>
      <c r="K53" s="1"/>
      <c r="L53" s="1"/>
      <c r="M53" s="1"/>
      <c r="N53" s="1"/>
      <c r="O53" s="1"/>
      <c r="P53" s="1"/>
      <c r="Q53" s="1"/>
      <c r="R53" s="1"/>
      <c r="S53" s="1"/>
      <c r="T53" s="1"/>
      <c r="U53" s="1"/>
      <c r="V53" s="1"/>
    </row>
    <row r="54" spans="1:22" ht="15" customHeight="1">
      <c r="A54" s="5"/>
      <c r="B54" s="1"/>
      <c r="C54" s="6"/>
      <c r="D54" s="6"/>
      <c r="E54" s="7"/>
      <c r="F54" s="6"/>
      <c r="G54" s="6"/>
      <c r="H54" s="1"/>
      <c r="I54" s="1"/>
      <c r="J54" s="1"/>
      <c r="K54" s="1"/>
      <c r="L54" s="1"/>
      <c r="M54" s="1"/>
      <c r="N54" s="1"/>
      <c r="O54" s="1"/>
      <c r="P54" s="1"/>
      <c r="Q54" s="1"/>
      <c r="R54" s="1"/>
      <c r="S54" s="1"/>
      <c r="T54" s="1"/>
      <c r="U54" s="1"/>
      <c r="V54" s="1"/>
    </row>
    <row r="55" spans="1:22" ht="15" customHeight="1">
      <c r="A55" s="5"/>
      <c r="B55" s="1"/>
      <c r="C55" s="6"/>
      <c r="D55" s="6"/>
      <c r="E55" s="7"/>
      <c r="F55" s="6"/>
      <c r="G55" s="6"/>
      <c r="H55" s="1"/>
      <c r="I55" s="1"/>
      <c r="J55" s="1"/>
      <c r="K55" s="1"/>
      <c r="L55" s="1"/>
      <c r="M55" s="1"/>
      <c r="N55" s="1"/>
      <c r="O55" s="1"/>
      <c r="P55" s="1"/>
      <c r="Q55" s="1"/>
      <c r="R55" s="1"/>
      <c r="S55" s="1"/>
      <c r="T55" s="1"/>
      <c r="U55" s="1"/>
      <c r="V55" s="1"/>
    </row>
    <row r="56" spans="1:22" ht="15" customHeight="1">
      <c r="A56" s="5"/>
      <c r="B56" s="1"/>
      <c r="C56" s="6"/>
      <c r="D56" s="6"/>
      <c r="E56" s="7"/>
      <c r="F56" s="6"/>
      <c r="G56" s="6"/>
      <c r="H56" s="1"/>
      <c r="I56" s="1"/>
      <c r="J56" s="1"/>
      <c r="K56" s="1"/>
      <c r="L56" s="1"/>
      <c r="M56" s="1"/>
      <c r="N56" s="1"/>
      <c r="O56" s="1"/>
      <c r="P56" s="1"/>
      <c r="Q56" s="1"/>
      <c r="R56" s="1"/>
      <c r="S56" s="1"/>
      <c r="T56" s="1"/>
      <c r="U56" s="1"/>
      <c r="V56" s="1"/>
    </row>
    <row r="57" spans="1:22" ht="15" customHeight="1">
      <c r="A57" s="5"/>
      <c r="B57" s="1"/>
      <c r="C57" s="6"/>
      <c r="D57" s="6"/>
      <c r="E57" s="7"/>
      <c r="F57" s="6"/>
      <c r="G57" s="6"/>
      <c r="H57" s="1"/>
      <c r="I57" s="1"/>
      <c r="J57" s="1"/>
      <c r="K57" s="1"/>
      <c r="L57" s="1"/>
      <c r="M57" s="1"/>
      <c r="N57" s="1"/>
      <c r="O57" s="1"/>
      <c r="P57" s="1"/>
      <c r="Q57" s="1"/>
      <c r="R57" s="1"/>
      <c r="S57" s="1"/>
      <c r="T57" s="1"/>
      <c r="U57" s="1"/>
      <c r="V57" s="1"/>
    </row>
    <row r="58" spans="1:22" ht="15" customHeight="1">
      <c r="A58" s="5"/>
      <c r="B58" s="1"/>
      <c r="C58" s="6"/>
      <c r="D58" s="6"/>
      <c r="E58" s="7"/>
      <c r="F58" s="6"/>
      <c r="G58" s="6"/>
      <c r="H58" s="1"/>
      <c r="I58" s="1"/>
      <c r="J58" s="1"/>
      <c r="K58" s="1"/>
      <c r="L58" s="1"/>
      <c r="M58" s="1"/>
      <c r="N58" s="1"/>
      <c r="O58" s="1"/>
      <c r="P58" s="1"/>
      <c r="Q58" s="1"/>
      <c r="R58" s="1"/>
      <c r="S58" s="1"/>
      <c r="T58" s="1"/>
      <c r="U58" s="1"/>
      <c r="V58" s="1"/>
    </row>
    <row r="59" spans="1:22" ht="15" customHeight="1">
      <c r="A59" s="5"/>
      <c r="B59" s="1"/>
      <c r="C59" s="6"/>
      <c r="D59" s="6"/>
      <c r="E59" s="7"/>
      <c r="F59" s="6"/>
      <c r="G59" s="6"/>
      <c r="H59" s="1"/>
      <c r="I59" s="1"/>
      <c r="J59" s="1"/>
      <c r="K59" s="1"/>
      <c r="L59" s="1"/>
      <c r="M59" s="1"/>
      <c r="N59" s="1"/>
      <c r="O59" s="1"/>
      <c r="P59" s="1"/>
      <c r="Q59" s="1"/>
      <c r="R59" s="1"/>
      <c r="S59" s="1"/>
      <c r="T59" s="1"/>
      <c r="U59" s="1"/>
      <c r="V59" s="1"/>
    </row>
    <row r="60" spans="1:22" ht="15" customHeight="1">
      <c r="A60" s="5"/>
      <c r="B60" s="1"/>
      <c r="C60" s="6"/>
      <c r="D60" s="6"/>
      <c r="E60" s="7"/>
      <c r="F60" s="6"/>
      <c r="G60" s="6"/>
      <c r="H60" s="1"/>
      <c r="I60" s="1"/>
      <c r="J60" s="1"/>
      <c r="K60" s="1"/>
      <c r="L60" s="1"/>
      <c r="M60" s="1"/>
      <c r="N60" s="1"/>
      <c r="O60" s="1"/>
      <c r="P60" s="1"/>
      <c r="Q60" s="1"/>
      <c r="R60" s="1"/>
      <c r="S60" s="1"/>
      <c r="T60" s="1"/>
      <c r="U60" s="1"/>
      <c r="V60" s="1"/>
    </row>
    <row r="61" spans="1:22" ht="15" customHeight="1">
      <c r="A61" s="5"/>
      <c r="B61" s="1"/>
      <c r="C61" s="6"/>
      <c r="D61" s="6"/>
      <c r="E61" s="7"/>
      <c r="F61" s="6"/>
      <c r="G61" s="6"/>
      <c r="H61" s="1"/>
      <c r="I61" s="1"/>
      <c r="J61" s="1"/>
      <c r="K61" s="1"/>
      <c r="L61" s="1"/>
      <c r="M61" s="1"/>
      <c r="N61" s="1"/>
      <c r="O61" s="1"/>
      <c r="P61" s="1"/>
      <c r="Q61" s="1"/>
      <c r="R61" s="1"/>
      <c r="S61" s="1"/>
      <c r="T61" s="1"/>
      <c r="U61" s="1"/>
      <c r="V61" s="1"/>
    </row>
    <row r="62" spans="1:22" ht="15" customHeight="1">
      <c r="A62" s="5"/>
      <c r="B62" s="1"/>
      <c r="C62" s="6"/>
      <c r="D62" s="6"/>
      <c r="E62" s="7"/>
      <c r="F62" s="6"/>
      <c r="G62" s="6"/>
      <c r="H62" s="1"/>
      <c r="I62" s="1"/>
      <c r="J62" s="1"/>
      <c r="K62" s="1"/>
      <c r="L62" s="1"/>
      <c r="M62" s="1"/>
      <c r="N62" s="1"/>
      <c r="O62" s="1"/>
      <c r="P62" s="1"/>
      <c r="Q62" s="1"/>
      <c r="R62" s="1"/>
      <c r="S62" s="1"/>
      <c r="T62" s="1"/>
      <c r="U62" s="1"/>
      <c r="V62" s="1"/>
    </row>
    <row r="63" spans="1:22" ht="15" customHeight="1">
      <c r="A63" s="5"/>
      <c r="B63" s="1"/>
      <c r="C63" s="6"/>
      <c r="D63" s="6"/>
      <c r="E63" s="7"/>
      <c r="F63" s="6"/>
      <c r="G63" s="6"/>
      <c r="H63" s="1"/>
      <c r="I63" s="1"/>
      <c r="J63" s="1"/>
      <c r="K63" s="1"/>
      <c r="L63" s="1"/>
      <c r="M63" s="1"/>
      <c r="N63" s="1"/>
      <c r="O63" s="1"/>
      <c r="P63" s="1"/>
      <c r="Q63" s="1"/>
      <c r="R63" s="1"/>
      <c r="S63" s="1"/>
      <c r="T63" s="1"/>
      <c r="U63" s="1"/>
      <c r="V63" s="1"/>
    </row>
    <row r="64" spans="1:22" ht="15" customHeight="1">
      <c r="A64" s="5"/>
      <c r="B64" s="1"/>
      <c r="C64" s="6"/>
      <c r="D64" s="6"/>
      <c r="E64" s="7"/>
      <c r="F64" s="6"/>
      <c r="G64" s="6"/>
      <c r="H64" s="1"/>
      <c r="I64" s="1"/>
      <c r="J64" s="1"/>
      <c r="K64" s="1"/>
      <c r="L64" s="1"/>
      <c r="M64" s="1"/>
      <c r="N64" s="1"/>
      <c r="O64" s="1"/>
      <c r="P64" s="1"/>
      <c r="Q64" s="1"/>
      <c r="R64" s="1"/>
      <c r="S64" s="1"/>
      <c r="T64" s="1"/>
      <c r="U64" s="1"/>
      <c r="V64" s="1"/>
    </row>
    <row r="65" spans="1:22" ht="15" customHeight="1">
      <c r="A65" s="5"/>
      <c r="B65" s="1"/>
      <c r="C65" s="6"/>
      <c r="D65" s="6"/>
      <c r="E65" s="7"/>
      <c r="F65" s="6"/>
      <c r="G65" s="6"/>
      <c r="H65" s="1"/>
      <c r="I65" s="1"/>
      <c r="J65" s="1"/>
      <c r="K65" s="1"/>
      <c r="L65" s="1"/>
      <c r="M65" s="1"/>
      <c r="N65" s="1"/>
      <c r="O65" s="1"/>
      <c r="P65" s="1"/>
      <c r="Q65" s="1"/>
      <c r="R65" s="1"/>
      <c r="S65" s="1"/>
      <c r="T65" s="1"/>
      <c r="U65" s="1"/>
      <c r="V65" s="1"/>
    </row>
    <row r="66" spans="1:22" ht="15" customHeight="1">
      <c r="A66" s="5"/>
      <c r="B66" s="1"/>
      <c r="C66" s="6"/>
      <c r="D66" s="6"/>
      <c r="E66" s="7"/>
      <c r="F66" s="6"/>
      <c r="G66" s="6"/>
      <c r="H66" s="1"/>
      <c r="I66" s="1"/>
      <c r="J66" s="1"/>
      <c r="K66" s="1"/>
      <c r="L66" s="1"/>
      <c r="M66" s="1"/>
      <c r="N66" s="1"/>
      <c r="O66" s="1"/>
      <c r="P66" s="1"/>
      <c r="Q66" s="1"/>
      <c r="R66" s="1"/>
      <c r="S66" s="1"/>
      <c r="T66" s="1"/>
      <c r="U66" s="1"/>
      <c r="V66" s="1"/>
    </row>
    <row r="67" spans="1:22" ht="15" customHeight="1">
      <c r="A67" s="5"/>
      <c r="B67" s="1"/>
      <c r="C67" s="6"/>
      <c r="D67" s="6"/>
      <c r="E67" s="7"/>
      <c r="F67" s="6"/>
      <c r="G67" s="6"/>
      <c r="H67" s="1"/>
      <c r="I67" s="1"/>
      <c r="J67" s="1"/>
      <c r="K67" s="1"/>
      <c r="L67" s="1"/>
      <c r="M67" s="1"/>
      <c r="N67" s="1"/>
      <c r="O67" s="1"/>
      <c r="P67" s="1"/>
      <c r="Q67" s="1"/>
      <c r="R67" s="1"/>
      <c r="S67" s="1"/>
      <c r="T67" s="1"/>
      <c r="U67" s="1"/>
      <c r="V67" s="1"/>
    </row>
    <row r="68" spans="1:22" ht="15" customHeight="1">
      <c r="A68" s="5"/>
      <c r="B68" s="1"/>
      <c r="C68" s="6"/>
      <c r="D68" s="6"/>
      <c r="E68" s="7"/>
      <c r="F68" s="6"/>
      <c r="G68" s="6"/>
      <c r="H68" s="1"/>
      <c r="I68" s="1"/>
      <c r="J68" s="1"/>
      <c r="K68" s="1"/>
      <c r="L68" s="1"/>
      <c r="M68" s="1"/>
      <c r="N68" s="1"/>
      <c r="O68" s="1"/>
      <c r="P68" s="1"/>
      <c r="Q68" s="1"/>
      <c r="R68" s="1"/>
      <c r="S68" s="1"/>
      <c r="T68" s="1"/>
      <c r="U68" s="1"/>
      <c r="V68" s="1"/>
    </row>
    <row r="69" spans="1:22" ht="15" customHeight="1">
      <c r="A69" s="5"/>
      <c r="B69" s="1"/>
      <c r="C69" s="6"/>
      <c r="D69" s="6"/>
      <c r="E69" s="7"/>
      <c r="F69" s="6"/>
      <c r="G69" s="6"/>
      <c r="H69" s="1"/>
      <c r="I69" s="1"/>
      <c r="J69" s="1"/>
      <c r="K69" s="1"/>
      <c r="L69" s="1"/>
      <c r="M69" s="1"/>
      <c r="N69" s="1"/>
      <c r="O69" s="1"/>
      <c r="P69" s="1"/>
      <c r="Q69" s="1"/>
      <c r="R69" s="1"/>
      <c r="S69" s="1"/>
      <c r="T69" s="1"/>
      <c r="U69" s="1"/>
      <c r="V69" s="1"/>
    </row>
    <row r="70" spans="1:22" ht="15" customHeight="1">
      <c r="A70" s="5"/>
      <c r="B70" s="1"/>
      <c r="C70" s="6"/>
      <c r="D70" s="6"/>
      <c r="E70" s="7"/>
      <c r="F70" s="6"/>
      <c r="G70" s="6"/>
      <c r="H70" s="1"/>
      <c r="I70" s="1"/>
      <c r="J70" s="1"/>
      <c r="K70" s="1"/>
      <c r="L70" s="1"/>
      <c r="M70" s="1"/>
      <c r="N70" s="1"/>
      <c r="O70" s="1"/>
      <c r="P70" s="1"/>
      <c r="Q70" s="1"/>
      <c r="R70" s="1"/>
      <c r="S70" s="1"/>
      <c r="T70" s="1"/>
      <c r="U70" s="1"/>
      <c r="V70" s="1"/>
    </row>
    <row r="71" spans="1:22" ht="15" customHeight="1">
      <c r="A71" s="5"/>
      <c r="B71" s="1"/>
      <c r="C71" s="6"/>
      <c r="D71" s="6"/>
      <c r="E71" s="7"/>
      <c r="F71" s="6"/>
      <c r="G71" s="6"/>
      <c r="H71" s="1"/>
      <c r="I71" s="1"/>
      <c r="J71" s="1"/>
      <c r="K71" s="1"/>
      <c r="L71" s="1"/>
      <c r="M71" s="1"/>
      <c r="N71" s="1"/>
      <c r="O71" s="1"/>
      <c r="P71" s="1"/>
      <c r="Q71" s="1"/>
      <c r="R71" s="1"/>
      <c r="S71" s="1"/>
      <c r="T71" s="1"/>
      <c r="U71" s="1"/>
      <c r="V71" s="1"/>
    </row>
    <row r="72" spans="1:22" ht="15" customHeight="1">
      <c r="A72" s="5"/>
      <c r="B72" s="1"/>
      <c r="C72" s="6"/>
      <c r="D72" s="6"/>
      <c r="E72" s="7"/>
      <c r="F72" s="6"/>
      <c r="G72" s="6"/>
      <c r="H72" s="1"/>
      <c r="I72" s="1"/>
      <c r="J72" s="1"/>
      <c r="K72" s="1"/>
      <c r="L72" s="1"/>
      <c r="M72" s="1"/>
      <c r="N72" s="1"/>
      <c r="O72" s="1"/>
      <c r="P72" s="1"/>
      <c r="Q72" s="1"/>
      <c r="R72" s="1"/>
      <c r="S72" s="1"/>
      <c r="T72" s="1"/>
      <c r="U72" s="1"/>
      <c r="V72" s="1"/>
    </row>
    <row r="73" spans="1:22" ht="15" customHeight="1">
      <c r="A73" s="5"/>
      <c r="B73" s="1"/>
      <c r="C73" s="6"/>
      <c r="D73" s="6"/>
      <c r="E73" s="7"/>
      <c r="F73" s="6"/>
      <c r="G73" s="6"/>
      <c r="H73" s="1"/>
      <c r="I73" s="1"/>
      <c r="J73" s="1"/>
      <c r="K73" s="1"/>
      <c r="L73" s="1"/>
      <c r="M73" s="1"/>
      <c r="N73" s="1"/>
      <c r="O73" s="1"/>
      <c r="P73" s="1"/>
      <c r="Q73" s="1"/>
      <c r="R73" s="1"/>
      <c r="S73" s="1"/>
      <c r="T73" s="1"/>
      <c r="U73" s="1"/>
      <c r="V73" s="1"/>
    </row>
    <row r="74" spans="1:22" ht="15" customHeight="1">
      <c r="A74" s="5"/>
      <c r="B74" s="1"/>
      <c r="C74" s="6"/>
      <c r="D74" s="6"/>
      <c r="E74" s="7"/>
      <c r="F74" s="6"/>
      <c r="G74" s="6"/>
      <c r="H74" s="1"/>
      <c r="I74" s="1"/>
      <c r="J74" s="1"/>
      <c r="K74" s="1"/>
      <c r="L74" s="1"/>
      <c r="M74" s="1"/>
      <c r="N74" s="1"/>
      <c r="O74" s="1"/>
      <c r="P74" s="1"/>
      <c r="Q74" s="1"/>
      <c r="R74" s="1"/>
      <c r="S74" s="1"/>
      <c r="T74" s="1"/>
      <c r="U74" s="1"/>
      <c r="V74" s="1"/>
    </row>
    <row r="75" spans="1:22" ht="15" customHeight="1">
      <c r="A75" s="5"/>
      <c r="B75" s="1"/>
      <c r="C75" s="6"/>
      <c r="D75" s="6"/>
      <c r="E75" s="7"/>
      <c r="F75" s="6"/>
      <c r="G75" s="6"/>
      <c r="H75" s="1"/>
      <c r="I75" s="1"/>
      <c r="J75" s="1"/>
      <c r="K75" s="1"/>
      <c r="L75" s="1"/>
      <c r="M75" s="1"/>
      <c r="N75" s="1"/>
      <c r="O75" s="1"/>
      <c r="P75" s="1"/>
      <c r="Q75" s="1"/>
      <c r="R75" s="1"/>
      <c r="S75" s="1"/>
      <c r="T75" s="1"/>
      <c r="U75" s="1"/>
      <c r="V75" s="1"/>
    </row>
    <row r="76" spans="1:22" ht="15" customHeight="1">
      <c r="A76" s="5"/>
      <c r="B76" s="1"/>
      <c r="C76" s="6"/>
      <c r="D76" s="6"/>
      <c r="E76" s="7"/>
      <c r="F76" s="6"/>
      <c r="G76" s="6"/>
      <c r="H76" s="1"/>
      <c r="I76" s="1"/>
      <c r="J76" s="1"/>
      <c r="K76" s="1"/>
      <c r="L76" s="1"/>
      <c r="M76" s="1"/>
      <c r="N76" s="1"/>
      <c r="O76" s="1"/>
      <c r="P76" s="1"/>
      <c r="Q76" s="1"/>
      <c r="R76" s="1"/>
      <c r="S76" s="1"/>
      <c r="T76" s="1"/>
      <c r="U76" s="1"/>
      <c r="V76" s="1"/>
    </row>
    <row r="77" spans="1:22" ht="15" customHeight="1">
      <c r="A77" s="5"/>
      <c r="B77" s="1"/>
      <c r="C77" s="6"/>
      <c r="D77" s="6"/>
      <c r="E77" s="7"/>
      <c r="F77" s="6"/>
      <c r="G77" s="6"/>
      <c r="H77" s="1"/>
      <c r="I77" s="1"/>
      <c r="J77" s="1"/>
      <c r="K77" s="1"/>
      <c r="L77" s="1"/>
      <c r="M77" s="1"/>
      <c r="N77" s="1"/>
      <c r="O77" s="1"/>
      <c r="P77" s="1"/>
      <c r="Q77" s="1"/>
      <c r="R77" s="1"/>
      <c r="S77" s="1"/>
      <c r="T77" s="1"/>
      <c r="U77" s="1"/>
      <c r="V77" s="1"/>
    </row>
    <row r="78" spans="1:22" ht="15" customHeight="1">
      <c r="A78" s="5"/>
      <c r="B78" s="1"/>
      <c r="C78" s="6"/>
      <c r="D78" s="6"/>
      <c r="E78" s="7"/>
      <c r="F78" s="6"/>
      <c r="G78" s="6"/>
      <c r="H78" s="1"/>
      <c r="I78" s="1"/>
      <c r="J78" s="1"/>
      <c r="K78" s="1"/>
      <c r="L78" s="1"/>
      <c r="M78" s="1"/>
      <c r="N78" s="1"/>
      <c r="O78" s="1"/>
      <c r="P78" s="1"/>
      <c r="Q78" s="1"/>
      <c r="R78" s="1"/>
      <c r="S78" s="1"/>
      <c r="T78" s="1"/>
      <c r="U78" s="1"/>
      <c r="V78" s="1"/>
    </row>
    <row r="79" spans="1:22" ht="15" customHeight="1">
      <c r="A79" s="5"/>
      <c r="B79" s="1"/>
      <c r="C79" s="6"/>
      <c r="D79" s="6"/>
      <c r="E79" s="7"/>
      <c r="F79" s="6"/>
      <c r="G79" s="6"/>
      <c r="H79" s="1"/>
      <c r="I79" s="1"/>
      <c r="J79" s="1"/>
      <c r="K79" s="1"/>
      <c r="L79" s="1"/>
      <c r="M79" s="1"/>
      <c r="N79" s="1"/>
      <c r="O79" s="1"/>
      <c r="P79" s="1"/>
      <c r="Q79" s="1"/>
      <c r="R79" s="1"/>
      <c r="S79" s="1"/>
      <c r="T79" s="1"/>
      <c r="U79" s="1"/>
      <c r="V79" s="1"/>
    </row>
    <row r="80" spans="1:22" ht="15" customHeight="1">
      <c r="A80" s="5"/>
      <c r="B80" s="1"/>
      <c r="C80" s="6"/>
      <c r="D80" s="6"/>
      <c r="E80" s="7"/>
      <c r="F80" s="6"/>
      <c r="G80" s="6"/>
      <c r="H80" s="1"/>
      <c r="I80" s="1"/>
      <c r="J80" s="1"/>
      <c r="K80" s="1"/>
      <c r="L80" s="1"/>
      <c r="M80" s="1"/>
      <c r="N80" s="1"/>
      <c r="O80" s="1"/>
      <c r="P80" s="1"/>
      <c r="Q80" s="1"/>
      <c r="R80" s="1"/>
      <c r="S80" s="1"/>
      <c r="T80" s="1"/>
      <c r="U80" s="1"/>
      <c r="V80" s="1"/>
    </row>
    <row r="81" spans="1:22" ht="15" customHeight="1">
      <c r="A81" s="5"/>
      <c r="B81" s="1"/>
      <c r="C81" s="6"/>
      <c r="D81" s="6"/>
      <c r="E81" s="7"/>
      <c r="F81" s="6"/>
      <c r="G81" s="6"/>
      <c r="H81" s="1"/>
      <c r="I81" s="1"/>
      <c r="J81" s="1"/>
      <c r="K81" s="1"/>
      <c r="L81" s="1"/>
      <c r="M81" s="1"/>
      <c r="N81" s="1"/>
      <c r="O81" s="1"/>
      <c r="P81" s="1"/>
      <c r="Q81" s="1"/>
      <c r="R81" s="1"/>
      <c r="S81" s="1"/>
      <c r="T81" s="1"/>
      <c r="U81" s="1"/>
      <c r="V81" s="1"/>
    </row>
    <row r="82" spans="1:22" ht="15" customHeight="1">
      <c r="A82" s="5"/>
      <c r="B82" s="1"/>
      <c r="C82" s="6"/>
      <c r="D82" s="6"/>
      <c r="E82" s="7"/>
      <c r="F82" s="6"/>
      <c r="G82" s="6"/>
      <c r="H82" s="1"/>
      <c r="I82" s="1"/>
      <c r="J82" s="1"/>
      <c r="K82" s="1"/>
      <c r="L82" s="1"/>
      <c r="M82" s="1"/>
      <c r="N82" s="1"/>
      <c r="O82" s="1"/>
      <c r="P82" s="1"/>
      <c r="Q82" s="1"/>
      <c r="R82" s="1"/>
      <c r="S82" s="1"/>
      <c r="T82" s="1"/>
      <c r="U82" s="1"/>
      <c r="V82" s="1"/>
    </row>
    <row r="83" spans="1:22" ht="15" customHeight="1">
      <c r="A83" s="5"/>
      <c r="B83" s="1"/>
      <c r="C83" s="6"/>
      <c r="D83" s="6"/>
      <c r="E83" s="7"/>
      <c r="F83" s="6"/>
      <c r="G83" s="6"/>
      <c r="H83" s="1"/>
      <c r="I83" s="1"/>
      <c r="J83" s="1"/>
      <c r="K83" s="1"/>
      <c r="L83" s="1"/>
      <c r="M83" s="1"/>
      <c r="N83" s="1"/>
      <c r="O83" s="1"/>
      <c r="P83" s="1"/>
      <c r="Q83" s="1"/>
      <c r="R83" s="1"/>
      <c r="S83" s="1"/>
      <c r="T83" s="1"/>
      <c r="U83" s="1"/>
      <c r="V83" s="1"/>
    </row>
    <row r="84" spans="1:22" ht="15" customHeight="1">
      <c r="A84" s="5"/>
      <c r="B84" s="1"/>
      <c r="C84" s="6"/>
      <c r="D84" s="6"/>
      <c r="E84" s="7"/>
      <c r="F84" s="6"/>
      <c r="G84" s="6"/>
      <c r="H84" s="1"/>
      <c r="I84" s="1"/>
      <c r="J84" s="1"/>
      <c r="K84" s="1"/>
      <c r="L84" s="1"/>
      <c r="M84" s="1"/>
      <c r="N84" s="1"/>
      <c r="O84" s="1"/>
      <c r="P84" s="1"/>
      <c r="Q84" s="1"/>
      <c r="R84" s="1"/>
      <c r="S84" s="1"/>
      <c r="T84" s="1"/>
      <c r="U84" s="1"/>
      <c r="V84" s="1"/>
    </row>
    <row r="85" spans="1:22" ht="15" customHeight="1">
      <c r="A85" s="5"/>
      <c r="B85" s="1"/>
      <c r="C85" s="6"/>
      <c r="D85" s="6"/>
      <c r="E85" s="7"/>
      <c r="F85" s="6"/>
      <c r="G85" s="6"/>
      <c r="H85" s="1"/>
      <c r="I85" s="1"/>
      <c r="J85" s="1"/>
      <c r="K85" s="1"/>
      <c r="L85" s="1"/>
      <c r="M85" s="1"/>
      <c r="N85" s="1"/>
      <c r="O85" s="1"/>
      <c r="P85" s="1"/>
      <c r="Q85" s="1"/>
      <c r="R85" s="1"/>
      <c r="S85" s="1"/>
      <c r="T85" s="1"/>
      <c r="U85" s="1"/>
      <c r="V85" s="1"/>
    </row>
    <row r="86" spans="1:22" ht="15" customHeight="1">
      <c r="A86" s="5"/>
      <c r="B86" s="1"/>
      <c r="C86" s="6"/>
      <c r="D86" s="6"/>
      <c r="E86" s="7"/>
      <c r="F86" s="6"/>
      <c r="G86" s="6"/>
      <c r="H86" s="1"/>
      <c r="I86" s="1"/>
      <c r="J86" s="1"/>
      <c r="K86" s="1"/>
      <c r="L86" s="1"/>
      <c r="M86" s="1"/>
      <c r="N86" s="1"/>
      <c r="O86" s="1"/>
      <c r="P86" s="1"/>
      <c r="Q86" s="1"/>
      <c r="R86" s="1"/>
      <c r="S86" s="1"/>
      <c r="T86" s="1"/>
      <c r="U86" s="1"/>
      <c r="V86" s="1"/>
    </row>
    <row r="87" spans="1:22" ht="15" customHeight="1">
      <c r="A87" s="5"/>
      <c r="B87" s="1"/>
      <c r="C87" s="6"/>
      <c r="D87" s="6"/>
      <c r="E87" s="7"/>
      <c r="F87" s="6"/>
      <c r="G87" s="6"/>
      <c r="H87" s="1"/>
      <c r="I87" s="1"/>
      <c r="J87" s="1"/>
      <c r="K87" s="1"/>
      <c r="L87" s="1"/>
      <c r="M87" s="1"/>
      <c r="N87" s="1"/>
      <c r="O87" s="1"/>
      <c r="P87" s="1"/>
      <c r="Q87" s="1"/>
      <c r="R87" s="1"/>
      <c r="S87" s="1"/>
      <c r="T87" s="1"/>
      <c r="U87" s="1"/>
      <c r="V87" s="1"/>
    </row>
    <row r="88" spans="1:22" ht="15" customHeight="1">
      <c r="A88" s="5"/>
      <c r="B88" s="1"/>
      <c r="C88" s="6"/>
      <c r="D88" s="6"/>
      <c r="E88" s="7"/>
      <c r="F88" s="6"/>
      <c r="G88" s="6"/>
      <c r="H88" s="1"/>
      <c r="I88" s="1"/>
      <c r="J88" s="1"/>
      <c r="K88" s="1"/>
      <c r="L88" s="1"/>
      <c r="M88" s="1"/>
      <c r="N88" s="1"/>
      <c r="O88" s="1"/>
      <c r="P88" s="1"/>
      <c r="Q88" s="1"/>
      <c r="R88" s="1"/>
      <c r="S88" s="1"/>
      <c r="T88" s="1"/>
      <c r="U88" s="1"/>
      <c r="V88" s="1"/>
    </row>
    <row r="89" spans="1:22" ht="15" customHeight="1">
      <c r="A89" s="5"/>
      <c r="B89" s="1"/>
      <c r="C89" s="6"/>
      <c r="D89" s="6"/>
      <c r="E89" s="7"/>
      <c r="F89" s="6"/>
      <c r="G89" s="6"/>
      <c r="H89" s="1"/>
      <c r="I89" s="1"/>
      <c r="J89" s="1"/>
      <c r="K89" s="1"/>
      <c r="L89" s="1"/>
      <c r="M89" s="1"/>
      <c r="N89" s="1"/>
      <c r="O89" s="1"/>
      <c r="P89" s="1"/>
      <c r="Q89" s="1"/>
      <c r="R89" s="1"/>
      <c r="S89" s="1"/>
      <c r="T89" s="1"/>
      <c r="U89" s="1"/>
      <c r="V89" s="1"/>
    </row>
    <row r="90" spans="1:22" ht="15" customHeight="1">
      <c r="A90" s="5"/>
      <c r="B90" s="1"/>
      <c r="C90" s="6"/>
      <c r="D90" s="6"/>
      <c r="E90" s="7"/>
      <c r="F90" s="6"/>
      <c r="G90" s="6"/>
      <c r="H90" s="1"/>
      <c r="I90" s="1"/>
      <c r="J90" s="1"/>
      <c r="K90" s="1"/>
      <c r="L90" s="1"/>
      <c r="M90" s="1"/>
      <c r="N90" s="1"/>
      <c r="O90" s="1"/>
      <c r="P90" s="1"/>
      <c r="Q90" s="1"/>
      <c r="R90" s="1"/>
      <c r="S90" s="1"/>
      <c r="T90" s="1"/>
      <c r="U90" s="1"/>
      <c r="V90" s="1"/>
    </row>
    <row r="91" spans="1:22" ht="15" customHeight="1">
      <c r="A91" s="5"/>
      <c r="B91" s="1"/>
      <c r="C91" s="6"/>
      <c r="D91" s="6"/>
      <c r="E91" s="7"/>
      <c r="F91" s="6"/>
      <c r="G91" s="6"/>
      <c r="H91" s="1"/>
      <c r="I91" s="1"/>
      <c r="J91" s="1"/>
      <c r="K91" s="1"/>
      <c r="L91" s="1"/>
      <c r="M91" s="1"/>
      <c r="N91" s="1"/>
      <c r="O91" s="1"/>
      <c r="P91" s="1"/>
      <c r="Q91" s="1"/>
      <c r="R91" s="1"/>
      <c r="S91" s="1"/>
      <c r="T91" s="1"/>
      <c r="U91" s="1"/>
      <c r="V91" s="1"/>
    </row>
    <row r="92" spans="1:22" ht="15" customHeight="1">
      <c r="A92" s="5"/>
      <c r="B92" s="1"/>
      <c r="C92" s="6"/>
      <c r="D92" s="6"/>
      <c r="E92" s="7"/>
      <c r="F92" s="6"/>
      <c r="G92" s="6"/>
      <c r="H92" s="1"/>
      <c r="I92" s="1"/>
      <c r="J92" s="1"/>
      <c r="K92" s="1"/>
      <c r="L92" s="1"/>
      <c r="M92" s="1"/>
      <c r="N92" s="1"/>
      <c r="O92" s="1"/>
      <c r="P92" s="1"/>
      <c r="Q92" s="1"/>
      <c r="R92" s="1"/>
      <c r="S92" s="1"/>
      <c r="T92" s="1"/>
      <c r="U92" s="1"/>
      <c r="V92" s="1"/>
    </row>
    <row r="93" spans="1:22" ht="15" customHeight="1">
      <c r="A93" s="5"/>
      <c r="B93" s="1"/>
      <c r="C93" s="6"/>
      <c r="D93" s="6"/>
      <c r="E93" s="7"/>
      <c r="F93" s="6"/>
      <c r="G93" s="6"/>
      <c r="H93" s="1"/>
      <c r="I93" s="1"/>
      <c r="J93" s="1"/>
      <c r="K93" s="1"/>
      <c r="L93" s="1"/>
      <c r="M93" s="1"/>
      <c r="N93" s="1"/>
      <c r="O93" s="1"/>
      <c r="P93" s="1"/>
      <c r="Q93" s="1"/>
      <c r="R93" s="1"/>
      <c r="S93" s="1"/>
      <c r="T93" s="1"/>
      <c r="U93" s="1"/>
      <c r="V93" s="1"/>
    </row>
    <row r="94" spans="1:22" ht="15" customHeight="1">
      <c r="A94" s="5"/>
      <c r="B94" s="1"/>
      <c r="C94" s="6"/>
      <c r="D94" s="6"/>
      <c r="E94" s="7"/>
      <c r="F94" s="6"/>
      <c r="G94" s="6"/>
      <c r="H94" s="1"/>
      <c r="I94" s="1"/>
      <c r="J94" s="1"/>
      <c r="K94" s="1"/>
      <c r="L94" s="1"/>
      <c r="M94" s="1"/>
      <c r="N94" s="1"/>
      <c r="O94" s="1"/>
      <c r="P94" s="1"/>
      <c r="Q94" s="1"/>
      <c r="R94" s="1"/>
      <c r="S94" s="1"/>
      <c r="T94" s="1"/>
      <c r="U94" s="1"/>
      <c r="V94" s="1"/>
    </row>
    <row r="95" spans="1:22" ht="15" customHeight="1">
      <c r="A95" s="5"/>
      <c r="B95" s="1"/>
      <c r="C95" s="6"/>
      <c r="D95" s="6"/>
      <c r="E95" s="7"/>
      <c r="F95" s="6"/>
      <c r="G95" s="6"/>
      <c r="H95" s="1"/>
      <c r="I95" s="1"/>
      <c r="J95" s="1"/>
      <c r="K95" s="1"/>
      <c r="L95" s="1"/>
      <c r="M95" s="1"/>
      <c r="N95" s="1"/>
      <c r="O95" s="1"/>
      <c r="P95" s="1"/>
      <c r="Q95" s="1"/>
      <c r="R95" s="1"/>
      <c r="S95" s="1"/>
      <c r="T95" s="1"/>
      <c r="U95" s="1"/>
      <c r="V95" s="1"/>
    </row>
    <row r="96" spans="1:22" ht="15" customHeight="1">
      <c r="A96" s="5"/>
      <c r="B96" s="1"/>
      <c r="C96" s="6"/>
      <c r="D96" s="6"/>
      <c r="E96" s="7"/>
      <c r="F96" s="6"/>
      <c r="G96" s="6"/>
      <c r="H96" s="1"/>
      <c r="I96" s="1"/>
      <c r="J96" s="1"/>
      <c r="K96" s="1"/>
      <c r="L96" s="1"/>
      <c r="M96" s="1"/>
      <c r="N96" s="1"/>
      <c r="O96" s="1"/>
      <c r="P96" s="1"/>
      <c r="Q96" s="1"/>
      <c r="R96" s="1"/>
      <c r="S96" s="1"/>
      <c r="T96" s="1"/>
      <c r="U96" s="1"/>
      <c r="V96" s="1"/>
    </row>
    <row r="97" spans="1:22" ht="15" customHeight="1">
      <c r="A97" s="5"/>
      <c r="B97" s="1"/>
      <c r="C97" s="6"/>
      <c r="D97" s="6"/>
      <c r="E97" s="7"/>
      <c r="F97" s="6"/>
      <c r="G97" s="6"/>
      <c r="H97" s="1"/>
      <c r="I97" s="1"/>
      <c r="J97" s="1"/>
      <c r="K97" s="1"/>
      <c r="L97" s="1"/>
      <c r="M97" s="1"/>
      <c r="N97" s="1"/>
      <c r="O97" s="1"/>
      <c r="P97" s="1"/>
      <c r="Q97" s="1"/>
      <c r="R97" s="1"/>
      <c r="S97" s="1"/>
      <c r="T97" s="1"/>
      <c r="U97" s="1"/>
      <c r="V97" s="1"/>
    </row>
    <row r="98" spans="1:22" ht="15" customHeight="1">
      <c r="A98" s="5"/>
      <c r="B98" s="1"/>
      <c r="C98" s="6"/>
      <c r="D98" s="6"/>
      <c r="E98" s="7"/>
      <c r="F98" s="6"/>
      <c r="G98" s="6"/>
      <c r="H98" s="1"/>
      <c r="I98" s="1"/>
      <c r="J98" s="1"/>
      <c r="K98" s="1"/>
      <c r="L98" s="1"/>
      <c r="M98" s="1"/>
      <c r="N98" s="1"/>
      <c r="O98" s="1"/>
      <c r="P98" s="1"/>
      <c r="Q98" s="1"/>
      <c r="R98" s="1"/>
      <c r="S98" s="1"/>
      <c r="T98" s="1"/>
      <c r="U98" s="1"/>
      <c r="V98" s="1"/>
    </row>
    <row r="99" spans="1:22" ht="15" customHeight="1">
      <c r="A99" s="5"/>
      <c r="B99" s="1"/>
      <c r="C99" s="6"/>
      <c r="D99" s="6"/>
      <c r="E99" s="7"/>
      <c r="F99" s="6"/>
      <c r="G99" s="6"/>
      <c r="H99" s="1"/>
      <c r="I99" s="1"/>
      <c r="J99" s="1"/>
      <c r="K99" s="1"/>
      <c r="L99" s="1"/>
      <c r="M99" s="1"/>
      <c r="N99" s="1"/>
      <c r="O99" s="1"/>
      <c r="P99" s="1"/>
      <c r="Q99" s="1"/>
      <c r="R99" s="1"/>
      <c r="S99" s="1"/>
      <c r="T99" s="1"/>
      <c r="U99" s="1"/>
      <c r="V99" s="1"/>
    </row>
    <row r="100" spans="1:22" ht="15" customHeight="1">
      <c r="A100" s="5"/>
      <c r="B100" s="1"/>
      <c r="C100" s="6"/>
      <c r="D100" s="6"/>
      <c r="E100" s="7"/>
      <c r="F100" s="6"/>
      <c r="G100" s="6"/>
      <c r="H100" s="1"/>
      <c r="I100" s="1"/>
      <c r="J100" s="1"/>
      <c r="K100" s="1"/>
      <c r="L100" s="1"/>
      <c r="M100" s="1"/>
      <c r="N100" s="1"/>
      <c r="O100" s="1"/>
      <c r="P100" s="1"/>
      <c r="Q100" s="1"/>
      <c r="R100" s="1"/>
      <c r="S100" s="1"/>
      <c r="T100" s="1"/>
      <c r="U100" s="1"/>
      <c r="V100" s="1"/>
    </row>
    <row r="101" spans="1:22" ht="15" customHeight="1">
      <c r="A101" s="5"/>
      <c r="B101" s="1"/>
      <c r="C101" s="6"/>
      <c r="D101" s="6"/>
      <c r="E101" s="7"/>
      <c r="F101" s="6"/>
      <c r="G101" s="6"/>
      <c r="H101" s="1"/>
      <c r="I101" s="1"/>
      <c r="J101" s="1"/>
      <c r="K101" s="1"/>
      <c r="L101" s="1"/>
      <c r="M101" s="1"/>
      <c r="N101" s="1"/>
      <c r="O101" s="1"/>
      <c r="P101" s="1"/>
      <c r="Q101" s="1"/>
      <c r="R101" s="1"/>
      <c r="S101" s="1"/>
      <c r="T101" s="1"/>
      <c r="U101" s="1"/>
      <c r="V101" s="1"/>
    </row>
    <row r="102" spans="1:22" ht="15" customHeight="1">
      <c r="A102" s="5"/>
      <c r="B102" s="1"/>
      <c r="C102" s="6"/>
      <c r="D102" s="6"/>
      <c r="E102" s="7"/>
      <c r="F102" s="6"/>
      <c r="G102" s="6"/>
      <c r="H102" s="1"/>
      <c r="I102" s="1"/>
      <c r="J102" s="1"/>
      <c r="K102" s="1"/>
      <c r="L102" s="1"/>
      <c r="M102" s="1"/>
      <c r="N102" s="1"/>
      <c r="O102" s="1"/>
      <c r="P102" s="1"/>
      <c r="Q102" s="1"/>
      <c r="R102" s="1"/>
      <c r="S102" s="1"/>
      <c r="T102" s="1"/>
      <c r="U102" s="1"/>
      <c r="V102" s="1"/>
    </row>
    <row r="103" spans="1:22" ht="15" customHeight="1">
      <c r="A103" s="5"/>
      <c r="B103" s="1"/>
      <c r="C103" s="6"/>
      <c r="D103" s="6"/>
      <c r="E103" s="7"/>
      <c r="F103" s="6"/>
      <c r="G103" s="6"/>
      <c r="H103" s="1"/>
      <c r="I103" s="1"/>
      <c r="J103" s="1"/>
      <c r="K103" s="1"/>
      <c r="L103" s="1"/>
      <c r="M103" s="1"/>
      <c r="N103" s="1"/>
      <c r="O103" s="1"/>
      <c r="P103" s="1"/>
      <c r="Q103" s="1"/>
      <c r="R103" s="1"/>
      <c r="S103" s="1"/>
      <c r="T103" s="1"/>
      <c r="U103" s="1"/>
      <c r="V103" s="1"/>
    </row>
    <row r="104" spans="1:22" ht="15" customHeight="1">
      <c r="A104" s="5"/>
      <c r="B104" s="1"/>
      <c r="C104" s="6"/>
      <c r="D104" s="6"/>
      <c r="E104" s="7"/>
      <c r="F104" s="6"/>
      <c r="G104" s="6"/>
      <c r="H104" s="1"/>
      <c r="I104" s="1"/>
      <c r="J104" s="1"/>
      <c r="K104" s="1"/>
      <c r="L104" s="1"/>
      <c r="M104" s="1"/>
      <c r="N104" s="1"/>
      <c r="O104" s="1"/>
      <c r="P104" s="1"/>
      <c r="Q104" s="1"/>
      <c r="R104" s="1"/>
      <c r="S104" s="1"/>
      <c r="T104" s="1"/>
      <c r="U104" s="1"/>
      <c r="V104" s="1"/>
    </row>
    <row r="105" spans="1:22" ht="15" customHeight="1">
      <c r="A105" s="5"/>
      <c r="B105" s="1"/>
      <c r="C105" s="6"/>
      <c r="D105" s="6"/>
      <c r="E105" s="7"/>
      <c r="F105" s="6"/>
      <c r="G105" s="6"/>
      <c r="H105" s="1"/>
      <c r="I105" s="1"/>
      <c r="J105" s="1"/>
      <c r="K105" s="1"/>
      <c r="L105" s="1"/>
      <c r="M105" s="1"/>
      <c r="N105" s="1"/>
      <c r="O105" s="1"/>
      <c r="P105" s="1"/>
      <c r="Q105" s="1"/>
      <c r="R105" s="1"/>
      <c r="S105" s="1"/>
      <c r="T105" s="1"/>
      <c r="U105" s="1"/>
      <c r="V105" s="1"/>
    </row>
    <row r="106" spans="1:22" ht="15" customHeight="1">
      <c r="A106" s="5"/>
      <c r="B106" s="1"/>
      <c r="C106" s="6"/>
      <c r="D106" s="6"/>
      <c r="E106" s="7"/>
      <c r="F106" s="6"/>
      <c r="G106" s="6"/>
      <c r="H106" s="1"/>
      <c r="I106" s="1"/>
      <c r="J106" s="1"/>
      <c r="K106" s="1"/>
      <c r="L106" s="1"/>
      <c r="M106" s="1"/>
      <c r="N106" s="1"/>
      <c r="O106" s="1"/>
      <c r="P106" s="1"/>
      <c r="Q106" s="1"/>
      <c r="R106" s="1"/>
      <c r="S106" s="1"/>
      <c r="T106" s="1"/>
      <c r="U106" s="1"/>
      <c r="V106" s="1"/>
    </row>
    <row r="107" spans="1:22" ht="15" customHeight="1">
      <c r="A107" s="5"/>
      <c r="B107" s="1"/>
      <c r="C107" s="6"/>
      <c r="D107" s="6"/>
      <c r="E107" s="7"/>
      <c r="F107" s="6"/>
      <c r="G107" s="6"/>
      <c r="H107" s="1"/>
      <c r="I107" s="1"/>
      <c r="J107" s="1"/>
      <c r="K107" s="1"/>
      <c r="L107" s="1"/>
      <c r="M107" s="1"/>
      <c r="N107" s="1"/>
      <c r="O107" s="1"/>
      <c r="P107" s="1"/>
      <c r="Q107" s="1"/>
      <c r="R107" s="1"/>
      <c r="S107" s="1"/>
      <c r="T107" s="1"/>
      <c r="U107" s="1"/>
      <c r="V107" s="1"/>
    </row>
    <row r="108" spans="1:22" ht="15" customHeight="1">
      <c r="A108" s="5"/>
      <c r="B108" s="1"/>
      <c r="C108" s="6"/>
      <c r="D108" s="6"/>
      <c r="E108" s="7"/>
      <c r="F108" s="6"/>
      <c r="G108" s="6"/>
      <c r="H108" s="1"/>
      <c r="I108" s="1"/>
      <c r="J108" s="1"/>
      <c r="K108" s="1"/>
      <c r="L108" s="1"/>
      <c r="M108" s="1"/>
      <c r="N108" s="1"/>
      <c r="O108" s="1"/>
      <c r="P108" s="1"/>
      <c r="Q108" s="1"/>
      <c r="R108" s="1"/>
      <c r="S108" s="1"/>
      <c r="T108" s="1"/>
      <c r="U108" s="1"/>
      <c r="V108" s="1"/>
    </row>
    <row r="109" spans="1:22" ht="15" customHeight="1">
      <c r="A109" s="5"/>
      <c r="B109" s="1"/>
      <c r="C109" s="6"/>
      <c r="D109" s="6"/>
      <c r="E109" s="7"/>
      <c r="F109" s="6"/>
      <c r="G109" s="6"/>
      <c r="H109" s="1"/>
      <c r="I109" s="1"/>
      <c r="J109" s="1"/>
      <c r="K109" s="1"/>
      <c r="L109" s="1"/>
      <c r="M109" s="1"/>
      <c r="N109" s="1"/>
      <c r="O109" s="1"/>
      <c r="P109" s="1"/>
      <c r="Q109" s="1"/>
      <c r="R109" s="1"/>
      <c r="S109" s="1"/>
      <c r="T109" s="1"/>
      <c r="U109" s="1"/>
      <c r="V109" s="1"/>
    </row>
    <row r="110" spans="1:22" ht="15" customHeight="1">
      <c r="A110" s="5"/>
      <c r="B110" s="1"/>
      <c r="C110" s="6"/>
      <c r="D110" s="6"/>
      <c r="E110" s="7"/>
      <c r="F110" s="6"/>
      <c r="G110" s="6"/>
      <c r="H110" s="1"/>
      <c r="I110" s="1"/>
      <c r="J110" s="1"/>
      <c r="K110" s="1"/>
      <c r="L110" s="1"/>
      <c r="M110" s="1"/>
      <c r="N110" s="1"/>
      <c r="O110" s="1"/>
      <c r="P110" s="1"/>
      <c r="Q110" s="1"/>
      <c r="R110" s="1"/>
      <c r="S110" s="1"/>
      <c r="T110" s="1"/>
      <c r="U110" s="1"/>
      <c r="V110" s="1"/>
    </row>
    <row r="111" spans="1:22" ht="15" customHeight="1">
      <c r="A111" s="5"/>
      <c r="B111" s="1"/>
      <c r="C111" s="6"/>
      <c r="D111" s="6"/>
      <c r="E111" s="7"/>
      <c r="F111" s="6"/>
      <c r="G111" s="6"/>
      <c r="H111" s="1"/>
      <c r="I111" s="1"/>
      <c r="J111" s="1"/>
      <c r="K111" s="1"/>
      <c r="L111" s="1"/>
      <c r="M111" s="1"/>
      <c r="N111" s="1"/>
      <c r="O111" s="1"/>
      <c r="P111" s="1"/>
      <c r="Q111" s="1"/>
      <c r="R111" s="1"/>
      <c r="S111" s="1"/>
      <c r="T111" s="1"/>
      <c r="U111" s="1"/>
      <c r="V111" s="1"/>
    </row>
    <row r="112" spans="1:22" ht="15" customHeight="1">
      <c r="A112" s="5"/>
      <c r="B112" s="1"/>
      <c r="C112" s="6"/>
      <c r="D112" s="6"/>
      <c r="E112" s="7"/>
      <c r="F112" s="6"/>
      <c r="G112" s="6"/>
      <c r="H112" s="1"/>
      <c r="I112" s="1"/>
      <c r="J112" s="1"/>
      <c r="K112" s="1"/>
      <c r="L112" s="1"/>
      <c r="M112" s="1"/>
      <c r="N112" s="1"/>
      <c r="O112" s="1"/>
      <c r="P112" s="1"/>
      <c r="Q112" s="1"/>
      <c r="R112" s="1"/>
      <c r="S112" s="1"/>
      <c r="T112" s="1"/>
      <c r="U112" s="1"/>
      <c r="V112" s="1"/>
    </row>
    <row r="113" spans="1:22" ht="15" customHeight="1">
      <c r="A113" s="5"/>
      <c r="B113" s="1"/>
      <c r="C113" s="6"/>
      <c r="D113" s="6"/>
      <c r="E113" s="7"/>
      <c r="F113" s="6"/>
      <c r="G113" s="6"/>
      <c r="H113" s="1"/>
      <c r="I113" s="1"/>
      <c r="J113" s="1"/>
      <c r="K113" s="1"/>
      <c r="L113" s="1"/>
      <c r="M113" s="1"/>
      <c r="N113" s="1"/>
      <c r="O113" s="1"/>
      <c r="P113" s="1"/>
      <c r="Q113" s="1"/>
      <c r="R113" s="1"/>
      <c r="S113" s="1"/>
      <c r="T113" s="1"/>
      <c r="U113" s="1"/>
      <c r="V113" s="1"/>
    </row>
    <row r="114" spans="1:22" ht="15" customHeight="1">
      <c r="A114" s="5"/>
      <c r="B114" s="1"/>
      <c r="C114" s="6"/>
      <c r="D114" s="6"/>
      <c r="E114" s="7"/>
      <c r="F114" s="6"/>
      <c r="G114" s="6"/>
      <c r="H114" s="1"/>
      <c r="I114" s="1"/>
      <c r="J114" s="1"/>
      <c r="K114" s="1"/>
      <c r="L114" s="1"/>
      <c r="M114" s="1"/>
      <c r="N114" s="1"/>
      <c r="O114" s="1"/>
      <c r="P114" s="1"/>
      <c r="Q114" s="1"/>
      <c r="R114" s="1"/>
      <c r="S114" s="1"/>
      <c r="T114" s="1"/>
      <c r="U114" s="1"/>
      <c r="V114" s="1"/>
    </row>
    <row r="115" spans="1:22" ht="15" customHeight="1">
      <c r="A115" s="5"/>
      <c r="B115" s="1"/>
      <c r="C115" s="6"/>
      <c r="D115" s="6"/>
      <c r="E115" s="7"/>
      <c r="F115" s="6"/>
      <c r="G115" s="6"/>
      <c r="H115" s="1"/>
      <c r="I115" s="1"/>
      <c r="J115" s="1"/>
      <c r="K115" s="1"/>
      <c r="L115" s="1"/>
      <c r="M115" s="1"/>
      <c r="N115" s="1"/>
      <c r="O115" s="1"/>
      <c r="P115" s="1"/>
      <c r="Q115" s="1"/>
      <c r="R115" s="1"/>
      <c r="S115" s="1"/>
      <c r="T115" s="1"/>
      <c r="U115" s="1"/>
      <c r="V115" s="1"/>
    </row>
    <row r="116" spans="1:22" ht="15" customHeight="1">
      <c r="A116" s="5"/>
      <c r="B116" s="1"/>
      <c r="C116" s="6"/>
      <c r="D116" s="6"/>
      <c r="E116" s="7"/>
      <c r="F116" s="6"/>
      <c r="G116" s="6"/>
      <c r="H116" s="1"/>
      <c r="I116" s="1"/>
      <c r="J116" s="1"/>
      <c r="K116" s="1"/>
      <c r="L116" s="1"/>
      <c r="M116" s="1"/>
      <c r="N116" s="1"/>
      <c r="O116" s="1"/>
      <c r="P116" s="1"/>
      <c r="Q116" s="1"/>
      <c r="R116" s="1"/>
      <c r="S116" s="1"/>
      <c r="T116" s="1"/>
      <c r="U116" s="1"/>
      <c r="V116" s="1"/>
    </row>
    <row r="117" spans="1:22" ht="15" customHeight="1">
      <c r="A117" s="5"/>
      <c r="B117" s="1"/>
      <c r="C117" s="6"/>
      <c r="D117" s="6"/>
      <c r="E117" s="7"/>
      <c r="F117" s="6"/>
      <c r="G117" s="6"/>
      <c r="H117" s="1"/>
      <c r="I117" s="1"/>
      <c r="J117" s="1"/>
      <c r="K117" s="1"/>
      <c r="L117" s="1"/>
      <c r="M117" s="1"/>
      <c r="N117" s="1"/>
      <c r="O117" s="1"/>
      <c r="P117" s="1"/>
      <c r="Q117" s="1"/>
      <c r="R117" s="1"/>
      <c r="S117" s="1"/>
      <c r="T117" s="1"/>
      <c r="U117" s="1"/>
      <c r="V117" s="1"/>
    </row>
    <row r="118" spans="1:22" ht="15" customHeight="1">
      <c r="A118" s="5"/>
      <c r="B118" s="1"/>
      <c r="C118" s="6"/>
      <c r="D118" s="6"/>
      <c r="E118" s="7"/>
      <c r="F118" s="6"/>
      <c r="G118" s="6"/>
      <c r="H118" s="1"/>
      <c r="I118" s="1"/>
      <c r="J118" s="1"/>
      <c r="K118" s="1"/>
      <c r="L118" s="1"/>
      <c r="M118" s="1"/>
      <c r="N118" s="1"/>
      <c r="O118" s="1"/>
      <c r="P118" s="1"/>
      <c r="Q118" s="1"/>
      <c r="R118" s="1"/>
      <c r="S118" s="1"/>
      <c r="T118" s="1"/>
      <c r="U118" s="1"/>
      <c r="V118" s="1"/>
    </row>
    <row r="119" spans="1:22" ht="15" customHeight="1">
      <c r="A119" s="5"/>
      <c r="B119" s="1"/>
      <c r="C119" s="6"/>
      <c r="D119" s="6"/>
      <c r="E119" s="7"/>
      <c r="F119" s="6"/>
      <c r="G119" s="6"/>
      <c r="H119" s="1"/>
      <c r="I119" s="1"/>
      <c r="J119" s="1"/>
      <c r="K119" s="1"/>
      <c r="L119" s="1"/>
      <c r="M119" s="1"/>
      <c r="N119" s="1"/>
      <c r="O119" s="1"/>
      <c r="P119" s="1"/>
      <c r="Q119" s="1"/>
      <c r="R119" s="1"/>
      <c r="S119" s="1"/>
      <c r="T119" s="1"/>
      <c r="U119" s="1"/>
      <c r="V119" s="1"/>
    </row>
    <row r="120" spans="1:22" ht="15" customHeight="1">
      <c r="A120" s="5"/>
      <c r="B120" s="1"/>
      <c r="C120" s="6"/>
      <c r="D120" s="6"/>
      <c r="E120" s="7"/>
      <c r="F120" s="6"/>
      <c r="G120" s="6"/>
      <c r="H120" s="1"/>
      <c r="I120" s="1"/>
      <c r="J120" s="1"/>
      <c r="K120" s="1"/>
      <c r="L120" s="1"/>
      <c r="M120" s="1"/>
      <c r="N120" s="1"/>
      <c r="O120" s="1"/>
      <c r="P120" s="1"/>
      <c r="Q120" s="1"/>
      <c r="R120" s="1"/>
      <c r="S120" s="1"/>
      <c r="T120" s="1"/>
      <c r="U120" s="1"/>
      <c r="V120" s="1"/>
    </row>
    <row r="121" spans="1:22" ht="15" customHeight="1">
      <c r="A121" s="5"/>
      <c r="B121" s="1"/>
      <c r="C121" s="6"/>
      <c r="D121" s="6"/>
      <c r="E121" s="7"/>
      <c r="F121" s="6"/>
      <c r="G121" s="6"/>
      <c r="H121" s="1"/>
      <c r="I121" s="1"/>
      <c r="J121" s="1"/>
      <c r="K121" s="1"/>
      <c r="L121" s="1"/>
      <c r="M121" s="1"/>
      <c r="N121" s="1"/>
      <c r="O121" s="1"/>
      <c r="P121" s="1"/>
      <c r="Q121" s="1"/>
      <c r="R121" s="1"/>
      <c r="S121" s="1"/>
      <c r="T121" s="1"/>
      <c r="U121" s="1"/>
      <c r="V121" s="1"/>
    </row>
    <row r="122" spans="1:22" ht="15" customHeight="1">
      <c r="A122" s="5"/>
      <c r="B122" s="1"/>
      <c r="C122" s="6"/>
      <c r="D122" s="6"/>
      <c r="E122" s="7"/>
      <c r="F122" s="6"/>
      <c r="G122" s="6"/>
      <c r="H122" s="1"/>
      <c r="I122" s="1"/>
      <c r="J122" s="1"/>
      <c r="K122" s="1"/>
      <c r="L122" s="1"/>
      <c r="M122" s="1"/>
      <c r="N122" s="1"/>
      <c r="O122" s="1"/>
      <c r="P122" s="1"/>
      <c r="Q122" s="1"/>
      <c r="R122" s="1"/>
      <c r="S122" s="1"/>
      <c r="T122" s="1"/>
      <c r="U122" s="1"/>
      <c r="V122" s="1"/>
    </row>
    <row r="123" spans="1:22" ht="15" customHeight="1">
      <c r="A123" s="5"/>
      <c r="B123" s="1"/>
      <c r="C123" s="6"/>
      <c r="D123" s="6"/>
      <c r="E123" s="7"/>
      <c r="F123" s="6"/>
      <c r="G123" s="6"/>
      <c r="H123" s="1"/>
      <c r="I123" s="1"/>
      <c r="J123" s="1"/>
      <c r="K123" s="1"/>
      <c r="L123" s="1"/>
      <c r="M123" s="1"/>
      <c r="N123" s="1"/>
      <c r="O123" s="1"/>
      <c r="P123" s="1"/>
      <c r="Q123" s="1"/>
      <c r="R123" s="1"/>
      <c r="S123" s="1"/>
      <c r="T123" s="1"/>
      <c r="U123" s="1"/>
      <c r="V123" s="1"/>
    </row>
    <row r="124" spans="1:22" ht="15" customHeight="1">
      <c r="A124" s="5"/>
      <c r="B124" s="1"/>
      <c r="C124" s="6"/>
      <c r="D124" s="6"/>
      <c r="E124" s="7"/>
      <c r="F124" s="6"/>
      <c r="G124" s="6"/>
      <c r="H124" s="1"/>
      <c r="I124" s="1"/>
      <c r="J124" s="1"/>
      <c r="K124" s="1"/>
      <c r="L124" s="1"/>
      <c r="M124" s="1"/>
      <c r="N124" s="1"/>
      <c r="O124" s="1"/>
      <c r="P124" s="1"/>
      <c r="Q124" s="1"/>
      <c r="R124" s="1"/>
      <c r="S124" s="1"/>
      <c r="T124" s="1"/>
      <c r="U124" s="1"/>
      <c r="V124" s="1"/>
    </row>
    <row r="125" spans="1:22" ht="15" customHeight="1">
      <c r="A125" s="5"/>
      <c r="B125" s="1"/>
      <c r="C125" s="6"/>
      <c r="D125" s="6"/>
      <c r="E125" s="7"/>
      <c r="F125" s="6"/>
      <c r="G125" s="6"/>
      <c r="H125" s="1"/>
      <c r="I125" s="1"/>
      <c r="J125" s="1"/>
      <c r="K125" s="1"/>
      <c r="L125" s="1"/>
      <c r="M125" s="1"/>
      <c r="N125" s="1"/>
      <c r="O125" s="1"/>
      <c r="P125" s="1"/>
      <c r="Q125" s="1"/>
      <c r="R125" s="1"/>
      <c r="S125" s="1"/>
      <c r="T125" s="1"/>
      <c r="U125" s="1"/>
      <c r="V125" s="1"/>
    </row>
    <row r="126" spans="1:22" ht="15" customHeight="1">
      <c r="A126" s="5"/>
      <c r="B126" s="1"/>
      <c r="C126" s="6"/>
      <c r="D126" s="6"/>
      <c r="E126" s="7"/>
      <c r="F126" s="6"/>
      <c r="G126" s="6"/>
      <c r="H126" s="1"/>
      <c r="I126" s="1"/>
      <c r="J126" s="1"/>
      <c r="K126" s="1"/>
      <c r="L126" s="1"/>
      <c r="M126" s="1"/>
      <c r="N126" s="1"/>
      <c r="O126" s="1"/>
      <c r="P126" s="1"/>
      <c r="Q126" s="1"/>
      <c r="R126" s="1"/>
      <c r="S126" s="1"/>
      <c r="T126" s="1"/>
      <c r="U126" s="1"/>
      <c r="V126" s="1"/>
    </row>
    <row r="127" spans="1:22" ht="15" customHeight="1">
      <c r="A127" s="5"/>
      <c r="B127" s="1"/>
      <c r="C127" s="6"/>
      <c r="D127" s="6"/>
      <c r="E127" s="7"/>
      <c r="F127" s="6"/>
      <c r="G127" s="6"/>
      <c r="H127" s="1"/>
      <c r="I127" s="1"/>
      <c r="J127" s="1"/>
      <c r="K127" s="1"/>
      <c r="L127" s="1"/>
      <c r="M127" s="1"/>
      <c r="N127" s="1"/>
      <c r="O127" s="1"/>
      <c r="P127" s="1"/>
      <c r="Q127" s="1"/>
      <c r="R127" s="1"/>
      <c r="S127" s="1"/>
      <c r="T127" s="1"/>
      <c r="U127" s="1"/>
      <c r="V127" s="1"/>
    </row>
    <row r="128" spans="1:22" ht="15" customHeight="1">
      <c r="A128" s="5"/>
      <c r="B128" s="1"/>
      <c r="C128" s="6"/>
      <c r="D128" s="6"/>
      <c r="E128" s="7"/>
      <c r="F128" s="6"/>
      <c r="G128" s="6"/>
      <c r="H128" s="1"/>
      <c r="I128" s="1"/>
      <c r="J128" s="1"/>
      <c r="K128" s="1"/>
      <c r="L128" s="1"/>
      <c r="M128" s="1"/>
      <c r="N128" s="1"/>
      <c r="O128" s="1"/>
      <c r="P128" s="1"/>
      <c r="Q128" s="1"/>
      <c r="R128" s="1"/>
      <c r="S128" s="1"/>
      <c r="T128" s="1"/>
      <c r="U128" s="1"/>
      <c r="V128" s="1"/>
    </row>
    <row r="129" spans="1:22" ht="15" customHeight="1">
      <c r="A129" s="5"/>
      <c r="B129" s="1"/>
      <c r="C129" s="6"/>
      <c r="D129" s="6"/>
      <c r="E129" s="7"/>
      <c r="F129" s="6"/>
      <c r="G129" s="6"/>
      <c r="H129" s="1"/>
      <c r="I129" s="1"/>
      <c r="J129" s="1"/>
      <c r="K129" s="1"/>
      <c r="L129" s="1"/>
      <c r="M129" s="1"/>
      <c r="N129" s="1"/>
      <c r="O129" s="1"/>
      <c r="P129" s="1"/>
      <c r="Q129" s="1"/>
      <c r="R129" s="1"/>
      <c r="S129" s="1"/>
      <c r="T129" s="1"/>
      <c r="U129" s="1"/>
      <c r="V129" s="1"/>
    </row>
    <row r="130" spans="1:22" ht="15" customHeight="1">
      <c r="A130" s="5"/>
      <c r="B130" s="1"/>
      <c r="C130" s="6"/>
      <c r="D130" s="6"/>
      <c r="E130" s="7"/>
      <c r="F130" s="6"/>
      <c r="G130" s="6"/>
      <c r="H130" s="1"/>
      <c r="I130" s="1"/>
      <c r="J130" s="1"/>
      <c r="K130" s="1"/>
      <c r="L130" s="1"/>
      <c r="M130" s="1"/>
      <c r="N130" s="1"/>
      <c r="O130" s="1"/>
      <c r="P130" s="1"/>
      <c r="Q130" s="1"/>
      <c r="R130" s="1"/>
      <c r="S130" s="1"/>
      <c r="T130" s="1"/>
      <c r="U130" s="1"/>
      <c r="V130" s="1"/>
    </row>
    <row r="131" spans="1:22" ht="15" customHeight="1">
      <c r="A131" s="5"/>
      <c r="B131" s="1"/>
      <c r="C131" s="6"/>
      <c r="D131" s="6"/>
      <c r="E131" s="7"/>
      <c r="F131" s="6"/>
      <c r="G131" s="6"/>
      <c r="H131" s="1"/>
      <c r="I131" s="1"/>
      <c r="J131" s="1"/>
      <c r="K131" s="1"/>
      <c r="L131" s="1"/>
      <c r="M131" s="1"/>
      <c r="N131" s="1"/>
      <c r="O131" s="1"/>
      <c r="P131" s="1"/>
      <c r="Q131" s="1"/>
      <c r="R131" s="1"/>
      <c r="S131" s="1"/>
      <c r="T131" s="1"/>
      <c r="U131" s="1"/>
      <c r="V131" s="1"/>
    </row>
    <row r="132" spans="1:22" ht="15" customHeight="1">
      <c r="A132" s="5"/>
      <c r="B132" s="1"/>
      <c r="C132" s="6"/>
      <c r="D132" s="6"/>
      <c r="E132" s="7"/>
      <c r="F132" s="6"/>
      <c r="G132" s="6"/>
      <c r="H132" s="1"/>
      <c r="I132" s="1"/>
      <c r="J132" s="1"/>
      <c r="K132" s="1"/>
      <c r="L132" s="1"/>
      <c r="M132" s="1"/>
      <c r="N132" s="1"/>
      <c r="O132" s="1"/>
      <c r="P132" s="1"/>
      <c r="Q132" s="1"/>
      <c r="R132" s="1"/>
      <c r="S132" s="1"/>
      <c r="T132" s="1"/>
      <c r="U132" s="1"/>
      <c r="V132" s="1"/>
    </row>
    <row r="133" spans="1:22" ht="15" customHeight="1">
      <c r="A133" s="5"/>
      <c r="B133" s="1"/>
      <c r="C133" s="6"/>
      <c r="D133" s="6"/>
      <c r="E133" s="7"/>
      <c r="F133" s="6"/>
      <c r="G133" s="6"/>
      <c r="H133" s="1"/>
      <c r="I133" s="1"/>
      <c r="J133" s="1"/>
      <c r="K133" s="1"/>
      <c r="L133" s="1"/>
      <c r="M133" s="1"/>
      <c r="N133" s="1"/>
      <c r="O133" s="1"/>
      <c r="P133" s="1"/>
      <c r="Q133" s="1"/>
      <c r="R133" s="1"/>
      <c r="S133" s="1"/>
      <c r="T133" s="1"/>
      <c r="U133" s="1"/>
      <c r="V133" s="1"/>
    </row>
    <row r="134" spans="1:22" ht="15" customHeight="1">
      <c r="A134" s="5"/>
      <c r="B134" s="1"/>
      <c r="C134" s="6"/>
      <c r="D134" s="6"/>
      <c r="E134" s="7"/>
      <c r="F134" s="6"/>
      <c r="G134" s="6"/>
      <c r="H134" s="1"/>
      <c r="I134" s="1"/>
      <c r="J134" s="1"/>
      <c r="K134" s="1"/>
      <c r="L134" s="1"/>
      <c r="M134" s="1"/>
      <c r="N134" s="1"/>
      <c r="O134" s="1"/>
      <c r="P134" s="1"/>
      <c r="Q134" s="1"/>
      <c r="R134" s="1"/>
      <c r="S134" s="1"/>
      <c r="T134" s="1"/>
      <c r="U134" s="1"/>
      <c r="V134" s="1"/>
    </row>
    <row r="135" spans="1:22" ht="15" customHeight="1">
      <c r="A135" s="5"/>
      <c r="B135" s="1"/>
      <c r="C135" s="6"/>
      <c r="D135" s="6"/>
      <c r="E135" s="7"/>
      <c r="F135" s="6"/>
      <c r="G135" s="6"/>
      <c r="H135" s="1"/>
      <c r="I135" s="1"/>
      <c r="J135" s="1"/>
      <c r="K135" s="1"/>
      <c r="L135" s="1"/>
      <c r="M135" s="1"/>
      <c r="N135" s="1"/>
      <c r="O135" s="1"/>
      <c r="P135" s="1"/>
      <c r="Q135" s="1"/>
      <c r="R135" s="1"/>
      <c r="S135" s="1"/>
      <c r="T135" s="1"/>
      <c r="U135" s="1"/>
      <c r="V135" s="1"/>
    </row>
    <row r="136" spans="1:22" ht="15" customHeight="1">
      <c r="A136" s="5"/>
      <c r="B136" s="1"/>
      <c r="C136" s="6"/>
      <c r="D136" s="6"/>
      <c r="E136" s="7"/>
      <c r="F136" s="6"/>
      <c r="G136" s="6"/>
      <c r="H136" s="1"/>
      <c r="I136" s="1"/>
      <c r="J136" s="1"/>
      <c r="K136" s="1"/>
      <c r="L136" s="1"/>
      <c r="M136" s="1"/>
      <c r="N136" s="1"/>
      <c r="O136" s="1"/>
      <c r="P136" s="1"/>
      <c r="Q136" s="1"/>
      <c r="R136" s="1"/>
      <c r="S136" s="1"/>
      <c r="T136" s="1"/>
      <c r="U136" s="1"/>
      <c r="V136" s="1"/>
    </row>
    <row r="137" spans="1:22" ht="15" customHeight="1">
      <c r="A137" s="5"/>
      <c r="B137" s="1"/>
      <c r="C137" s="6"/>
      <c r="D137" s="6"/>
      <c r="E137" s="7"/>
      <c r="F137" s="6"/>
      <c r="G137" s="6"/>
      <c r="H137" s="1"/>
      <c r="I137" s="1"/>
      <c r="J137" s="1"/>
      <c r="K137" s="1"/>
      <c r="L137" s="1"/>
      <c r="M137" s="1"/>
      <c r="N137" s="1"/>
      <c r="O137" s="1"/>
      <c r="P137" s="1"/>
      <c r="Q137" s="1"/>
      <c r="R137" s="1"/>
      <c r="S137" s="1"/>
      <c r="T137" s="1"/>
      <c r="U137" s="1"/>
      <c r="V137" s="1"/>
    </row>
    <row r="138" spans="1:22" ht="15" customHeight="1">
      <c r="A138" s="5"/>
      <c r="B138" s="1"/>
      <c r="C138" s="6"/>
      <c r="D138" s="6"/>
      <c r="E138" s="7"/>
      <c r="F138" s="6"/>
      <c r="G138" s="6"/>
      <c r="H138" s="1"/>
      <c r="I138" s="1"/>
      <c r="J138" s="1"/>
      <c r="K138" s="1"/>
      <c r="L138" s="1"/>
      <c r="M138" s="1"/>
      <c r="N138" s="1"/>
      <c r="O138" s="1"/>
      <c r="P138" s="1"/>
      <c r="Q138" s="1"/>
      <c r="R138" s="1"/>
      <c r="S138" s="1"/>
      <c r="T138" s="1"/>
      <c r="U138" s="1"/>
      <c r="V138" s="1"/>
    </row>
    <row r="139" spans="1:22" ht="15" customHeight="1">
      <c r="A139" s="5"/>
      <c r="B139" s="1"/>
      <c r="C139" s="6"/>
      <c r="D139" s="6"/>
      <c r="E139" s="7"/>
      <c r="F139" s="6"/>
      <c r="G139" s="6"/>
      <c r="H139" s="1"/>
      <c r="I139" s="1"/>
      <c r="J139" s="1"/>
      <c r="K139" s="1"/>
      <c r="L139" s="1"/>
      <c r="M139" s="1"/>
      <c r="N139" s="1"/>
      <c r="O139" s="1"/>
      <c r="P139" s="1"/>
      <c r="Q139" s="1"/>
      <c r="R139" s="1"/>
      <c r="S139" s="1"/>
      <c r="T139" s="1"/>
      <c r="U139" s="1"/>
      <c r="V139" s="1"/>
    </row>
    <row r="140" spans="1:22" ht="15" customHeight="1">
      <c r="A140" s="5"/>
      <c r="B140" s="1"/>
      <c r="C140" s="6"/>
      <c r="D140" s="6"/>
      <c r="E140" s="7"/>
      <c r="F140" s="6"/>
      <c r="G140" s="6"/>
      <c r="H140" s="1"/>
      <c r="I140" s="1"/>
      <c r="J140" s="1"/>
      <c r="K140" s="1"/>
      <c r="L140" s="1"/>
      <c r="M140" s="1"/>
      <c r="N140" s="1"/>
      <c r="O140" s="1"/>
      <c r="P140" s="1"/>
      <c r="Q140" s="1"/>
      <c r="R140" s="1"/>
      <c r="S140" s="1"/>
      <c r="T140" s="1"/>
      <c r="U140" s="1"/>
      <c r="V140" s="1"/>
    </row>
    <row r="141" spans="1:22" ht="15" customHeight="1">
      <c r="A141" s="5"/>
      <c r="B141" s="1"/>
      <c r="C141" s="6"/>
      <c r="D141" s="6"/>
      <c r="E141" s="7"/>
      <c r="F141" s="6"/>
      <c r="G141" s="6"/>
      <c r="H141" s="1"/>
      <c r="I141" s="1"/>
      <c r="J141" s="1"/>
      <c r="K141" s="1"/>
      <c r="L141" s="1"/>
      <c r="M141" s="1"/>
      <c r="N141" s="1"/>
      <c r="O141" s="1"/>
      <c r="P141" s="1"/>
      <c r="Q141" s="1"/>
      <c r="R141" s="1"/>
      <c r="S141" s="1"/>
      <c r="T141" s="1"/>
      <c r="U141" s="1"/>
      <c r="V141" s="1"/>
    </row>
    <row r="142" spans="1:22" ht="15" customHeight="1">
      <c r="A142" s="5"/>
      <c r="B142" s="1"/>
      <c r="C142" s="6"/>
      <c r="D142" s="6"/>
      <c r="E142" s="7"/>
      <c r="F142" s="6"/>
      <c r="G142" s="6"/>
      <c r="H142" s="1"/>
      <c r="I142" s="1"/>
      <c r="J142" s="1"/>
      <c r="K142" s="1"/>
      <c r="L142" s="1"/>
      <c r="M142" s="1"/>
      <c r="N142" s="1"/>
      <c r="O142" s="1"/>
      <c r="P142" s="1"/>
      <c r="Q142" s="1"/>
      <c r="R142" s="1"/>
      <c r="S142" s="1"/>
      <c r="T142" s="1"/>
      <c r="U142" s="1"/>
      <c r="V142" s="1"/>
    </row>
    <row r="143" spans="1:22" ht="15" customHeight="1">
      <c r="A143" s="5"/>
      <c r="B143" s="1"/>
      <c r="C143" s="6"/>
      <c r="D143" s="6"/>
      <c r="E143" s="7"/>
      <c r="F143" s="6"/>
      <c r="G143" s="6"/>
      <c r="H143" s="1"/>
      <c r="I143" s="1"/>
      <c r="J143" s="1"/>
      <c r="K143" s="1"/>
      <c r="L143" s="1"/>
      <c r="M143" s="1"/>
      <c r="N143" s="1"/>
      <c r="O143" s="1"/>
      <c r="P143" s="1"/>
      <c r="Q143" s="1"/>
      <c r="R143" s="1"/>
      <c r="S143" s="1"/>
      <c r="T143" s="1"/>
      <c r="U143" s="1"/>
      <c r="V143" s="1"/>
    </row>
    <row r="144" spans="1:22" ht="15" customHeight="1">
      <c r="A144" s="5"/>
      <c r="B144" s="1"/>
      <c r="C144" s="6"/>
      <c r="D144" s="6"/>
      <c r="E144" s="7"/>
      <c r="F144" s="6"/>
      <c r="G144" s="6"/>
      <c r="H144" s="1"/>
      <c r="I144" s="1"/>
      <c r="J144" s="1"/>
      <c r="K144" s="1"/>
      <c r="L144" s="1"/>
      <c r="M144" s="1"/>
      <c r="N144" s="1"/>
      <c r="O144" s="1"/>
      <c r="P144" s="1"/>
      <c r="Q144" s="1"/>
      <c r="R144" s="1"/>
      <c r="S144" s="1"/>
      <c r="T144" s="1"/>
      <c r="U144" s="1"/>
      <c r="V144" s="1"/>
    </row>
    <row r="145" spans="1:22" ht="15" customHeight="1">
      <c r="A145" s="5"/>
      <c r="B145" s="1"/>
      <c r="C145" s="6"/>
      <c r="D145" s="6"/>
      <c r="E145" s="7"/>
      <c r="F145" s="6"/>
      <c r="G145" s="6"/>
      <c r="H145" s="1"/>
      <c r="I145" s="1"/>
      <c r="J145" s="1"/>
      <c r="K145" s="1"/>
      <c r="L145" s="1"/>
      <c r="M145" s="1"/>
      <c r="N145" s="1"/>
      <c r="O145" s="1"/>
      <c r="P145" s="1"/>
      <c r="Q145" s="1"/>
      <c r="R145" s="1"/>
      <c r="S145" s="1"/>
      <c r="T145" s="1"/>
      <c r="U145" s="1"/>
      <c r="V145" s="1"/>
    </row>
    <row r="146" spans="1:22" ht="15" customHeight="1">
      <c r="A146" s="5"/>
      <c r="B146" s="1"/>
      <c r="C146" s="6"/>
      <c r="D146" s="6"/>
      <c r="E146" s="7"/>
      <c r="F146" s="6"/>
      <c r="G146" s="6"/>
      <c r="H146" s="1"/>
      <c r="I146" s="1"/>
      <c r="J146" s="1"/>
      <c r="K146" s="1"/>
      <c r="L146" s="1"/>
      <c r="M146" s="1"/>
      <c r="N146" s="1"/>
      <c r="O146" s="1"/>
      <c r="P146" s="1"/>
      <c r="Q146" s="1"/>
      <c r="R146" s="1"/>
      <c r="S146" s="1"/>
      <c r="T146" s="1"/>
      <c r="U146" s="1"/>
      <c r="V146" s="1"/>
    </row>
    <row r="147" spans="1:22" ht="15" customHeight="1">
      <c r="A147" s="5"/>
      <c r="B147" s="1"/>
      <c r="C147" s="6"/>
      <c r="D147" s="6"/>
      <c r="E147" s="7"/>
      <c r="F147" s="6"/>
      <c r="G147" s="6"/>
      <c r="H147" s="1"/>
      <c r="I147" s="1"/>
      <c r="J147" s="1"/>
      <c r="K147" s="1"/>
      <c r="L147" s="1"/>
      <c r="M147" s="1"/>
      <c r="N147" s="1"/>
      <c r="O147" s="1"/>
      <c r="P147" s="1"/>
      <c r="Q147" s="1"/>
      <c r="R147" s="1"/>
      <c r="S147" s="1"/>
      <c r="T147" s="1"/>
      <c r="U147" s="1"/>
      <c r="V147" s="1"/>
    </row>
    <row r="148" spans="1:22" ht="15" customHeight="1">
      <c r="A148" s="5"/>
      <c r="B148" s="1"/>
      <c r="C148" s="6"/>
      <c r="D148" s="6"/>
      <c r="E148" s="7"/>
      <c r="F148" s="6"/>
      <c r="G148" s="6"/>
      <c r="H148" s="1"/>
      <c r="I148" s="1"/>
      <c r="J148" s="1"/>
      <c r="K148" s="1"/>
      <c r="L148" s="1"/>
      <c r="M148" s="1"/>
      <c r="N148" s="1"/>
      <c r="O148" s="1"/>
      <c r="P148" s="1"/>
      <c r="Q148" s="1"/>
      <c r="R148" s="1"/>
      <c r="S148" s="1"/>
      <c r="T148" s="1"/>
      <c r="U148" s="1"/>
      <c r="V148" s="1"/>
    </row>
    <row r="149" spans="1:22" ht="15" customHeight="1">
      <c r="A149" s="5"/>
      <c r="B149" s="1"/>
      <c r="C149" s="6"/>
      <c r="D149" s="6"/>
      <c r="E149" s="7"/>
      <c r="F149" s="6"/>
      <c r="G149" s="6"/>
      <c r="H149" s="1"/>
      <c r="I149" s="1"/>
      <c r="J149" s="1"/>
      <c r="K149" s="1"/>
      <c r="L149" s="1"/>
      <c r="M149" s="1"/>
      <c r="N149" s="1"/>
      <c r="O149" s="1"/>
      <c r="P149" s="1"/>
      <c r="Q149" s="1"/>
      <c r="R149" s="1"/>
      <c r="S149" s="1"/>
      <c r="T149" s="1"/>
      <c r="U149" s="1"/>
      <c r="V149" s="1"/>
    </row>
    <row r="150" spans="1:22" ht="15" customHeight="1">
      <c r="A150" s="5"/>
      <c r="B150" s="1"/>
      <c r="C150" s="6"/>
      <c r="D150" s="6"/>
      <c r="E150" s="7"/>
      <c r="F150" s="6"/>
      <c r="G150" s="6"/>
      <c r="H150" s="1"/>
      <c r="I150" s="1"/>
      <c r="J150" s="1"/>
      <c r="K150" s="1"/>
      <c r="L150" s="1"/>
      <c r="M150" s="1"/>
      <c r="N150" s="1"/>
      <c r="O150" s="1"/>
      <c r="P150" s="1"/>
      <c r="Q150" s="1"/>
      <c r="R150" s="1"/>
      <c r="S150" s="1"/>
      <c r="T150" s="1"/>
      <c r="U150" s="1"/>
      <c r="V150" s="1"/>
    </row>
    <row r="151" spans="1:22" ht="15" customHeight="1">
      <c r="A151" s="5"/>
      <c r="B151" s="1"/>
      <c r="C151" s="6"/>
      <c r="D151" s="6"/>
      <c r="E151" s="7"/>
      <c r="F151" s="6"/>
      <c r="G151" s="6"/>
      <c r="H151" s="1"/>
      <c r="I151" s="1"/>
      <c r="J151" s="1"/>
      <c r="K151" s="1"/>
      <c r="L151" s="1"/>
      <c r="M151" s="1"/>
      <c r="N151" s="1"/>
      <c r="O151" s="1"/>
      <c r="P151" s="1"/>
      <c r="Q151" s="1"/>
      <c r="R151" s="1"/>
      <c r="S151" s="1"/>
      <c r="T151" s="1"/>
      <c r="U151" s="1"/>
      <c r="V151" s="1"/>
    </row>
    <row r="152" spans="1:22" ht="15" customHeight="1">
      <c r="A152" s="5"/>
      <c r="B152" s="1"/>
      <c r="C152" s="6"/>
      <c r="D152" s="6"/>
      <c r="E152" s="7"/>
      <c r="F152" s="6"/>
      <c r="G152" s="6"/>
      <c r="H152" s="1"/>
      <c r="I152" s="1"/>
      <c r="J152" s="1"/>
      <c r="K152" s="1"/>
      <c r="L152" s="1"/>
      <c r="M152" s="1"/>
      <c r="N152" s="1"/>
      <c r="O152" s="1"/>
      <c r="P152" s="1"/>
      <c r="Q152" s="1"/>
      <c r="R152" s="1"/>
      <c r="S152" s="1"/>
      <c r="T152" s="1"/>
      <c r="U152" s="1"/>
      <c r="V152" s="1"/>
    </row>
    <row r="153" spans="1:22" ht="15" customHeight="1">
      <c r="A153" s="5"/>
      <c r="B153" s="1"/>
      <c r="C153" s="6"/>
      <c r="D153" s="6"/>
      <c r="E153" s="7"/>
      <c r="F153" s="6"/>
      <c r="G153" s="6"/>
      <c r="H153" s="1"/>
      <c r="I153" s="1"/>
      <c r="J153" s="1"/>
      <c r="K153" s="1"/>
      <c r="L153" s="1"/>
      <c r="M153" s="1"/>
      <c r="N153" s="1"/>
      <c r="O153" s="1"/>
      <c r="P153" s="1"/>
      <c r="Q153" s="1"/>
      <c r="R153" s="1"/>
      <c r="S153" s="1"/>
      <c r="T153" s="1"/>
      <c r="U153" s="1"/>
      <c r="V153" s="1"/>
    </row>
    <row r="154" spans="1:22" ht="15" customHeight="1">
      <c r="A154" s="5"/>
      <c r="B154" s="1"/>
      <c r="C154" s="6"/>
      <c r="D154" s="6"/>
      <c r="E154" s="7"/>
      <c r="F154" s="6"/>
      <c r="G154" s="6"/>
      <c r="H154" s="1"/>
      <c r="I154" s="1"/>
      <c r="J154" s="1"/>
      <c r="K154" s="1"/>
      <c r="L154" s="1"/>
      <c r="M154" s="1"/>
      <c r="N154" s="1"/>
      <c r="O154" s="1"/>
      <c r="P154" s="1"/>
      <c r="Q154" s="1"/>
      <c r="R154" s="1"/>
      <c r="S154" s="1"/>
      <c r="T154" s="1"/>
      <c r="U154" s="1"/>
      <c r="V154" s="1"/>
    </row>
    <row r="155" spans="1:22" ht="15" customHeight="1">
      <c r="A155" s="5"/>
      <c r="B155" s="1"/>
      <c r="C155" s="6"/>
      <c r="D155" s="6"/>
      <c r="E155" s="7"/>
      <c r="F155" s="6"/>
      <c r="G155" s="6"/>
      <c r="H155" s="1"/>
      <c r="I155" s="1"/>
      <c r="J155" s="1"/>
      <c r="K155" s="1"/>
      <c r="L155" s="1"/>
      <c r="M155" s="1"/>
      <c r="N155" s="1"/>
      <c r="O155" s="1"/>
      <c r="P155" s="1"/>
      <c r="Q155" s="1"/>
      <c r="R155" s="1"/>
      <c r="S155" s="1"/>
      <c r="T155" s="1"/>
      <c r="U155" s="1"/>
      <c r="V155" s="1"/>
    </row>
    <row r="156" spans="1:22" ht="15" customHeight="1">
      <c r="A156" s="5"/>
      <c r="B156" s="1"/>
      <c r="C156" s="6"/>
      <c r="D156" s="6"/>
      <c r="E156" s="7"/>
      <c r="F156" s="6"/>
      <c r="G156" s="6"/>
      <c r="H156" s="1"/>
      <c r="I156" s="1"/>
      <c r="J156" s="1"/>
      <c r="K156" s="1"/>
      <c r="L156" s="1"/>
      <c r="M156" s="1"/>
      <c r="N156" s="1"/>
      <c r="O156" s="1"/>
      <c r="P156" s="1"/>
      <c r="Q156" s="1"/>
      <c r="R156" s="1"/>
      <c r="S156" s="1"/>
      <c r="T156" s="1"/>
      <c r="U156" s="1"/>
      <c r="V156" s="1"/>
    </row>
    <row r="157" spans="1:22" ht="15" customHeight="1">
      <c r="A157" s="5"/>
      <c r="B157" s="1"/>
      <c r="C157" s="6"/>
      <c r="D157" s="6"/>
      <c r="E157" s="7"/>
      <c r="F157" s="6"/>
      <c r="G157" s="6"/>
      <c r="H157" s="1"/>
      <c r="I157" s="1"/>
      <c r="J157" s="1"/>
      <c r="K157" s="1"/>
      <c r="L157" s="1"/>
      <c r="M157" s="1"/>
      <c r="N157" s="1"/>
      <c r="O157" s="1"/>
      <c r="P157" s="1"/>
      <c r="Q157" s="1"/>
      <c r="R157" s="1"/>
      <c r="S157" s="1"/>
      <c r="T157" s="1"/>
      <c r="U157" s="1"/>
      <c r="V157" s="1"/>
    </row>
    <row r="158" spans="1:22" ht="15" customHeight="1">
      <c r="A158" s="5"/>
      <c r="B158" s="1"/>
      <c r="C158" s="6"/>
      <c r="D158" s="6"/>
      <c r="E158" s="7"/>
      <c r="F158" s="6"/>
      <c r="G158" s="6"/>
      <c r="H158" s="1"/>
      <c r="I158" s="1"/>
      <c r="J158" s="1"/>
      <c r="K158" s="1"/>
      <c r="L158" s="1"/>
      <c r="M158" s="1"/>
      <c r="N158" s="1"/>
      <c r="O158" s="1"/>
      <c r="P158" s="1"/>
      <c r="Q158" s="1"/>
      <c r="R158" s="1"/>
      <c r="S158" s="1"/>
      <c r="T158" s="1"/>
      <c r="U158" s="1"/>
      <c r="V158" s="1"/>
    </row>
    <row r="159" spans="1:22" ht="15" customHeight="1">
      <c r="A159" s="5"/>
      <c r="B159" s="1"/>
      <c r="C159" s="6"/>
      <c r="D159" s="6"/>
      <c r="E159" s="7"/>
      <c r="F159" s="6"/>
      <c r="G159" s="6"/>
      <c r="H159" s="1"/>
      <c r="I159" s="1"/>
      <c r="J159" s="1"/>
      <c r="K159" s="1"/>
      <c r="L159" s="1"/>
      <c r="M159" s="1"/>
      <c r="N159" s="1"/>
      <c r="O159" s="1"/>
      <c r="P159" s="1"/>
      <c r="Q159" s="1"/>
      <c r="R159" s="1"/>
      <c r="S159" s="1"/>
      <c r="T159" s="1"/>
      <c r="U159" s="1"/>
      <c r="V159" s="1"/>
    </row>
    <row r="160" spans="1:22" ht="15" customHeight="1">
      <c r="A160" s="5"/>
      <c r="B160" s="1"/>
      <c r="C160" s="6"/>
      <c r="D160" s="6"/>
      <c r="E160" s="7"/>
      <c r="F160" s="6"/>
      <c r="G160" s="6"/>
      <c r="H160" s="1"/>
      <c r="I160" s="1"/>
      <c r="J160" s="1"/>
      <c r="K160" s="1"/>
      <c r="L160" s="1"/>
      <c r="M160" s="1"/>
      <c r="N160" s="1"/>
      <c r="O160" s="1"/>
      <c r="P160" s="1"/>
      <c r="Q160" s="1"/>
      <c r="R160" s="1"/>
      <c r="S160" s="1"/>
      <c r="T160" s="1"/>
      <c r="U160" s="1"/>
      <c r="V160" s="1"/>
    </row>
    <row r="161" spans="1:22" ht="15" customHeight="1">
      <c r="A161" s="5"/>
      <c r="B161" s="1"/>
      <c r="C161" s="6"/>
      <c r="D161" s="6"/>
      <c r="E161" s="7"/>
      <c r="F161" s="6"/>
      <c r="G161" s="6"/>
      <c r="H161" s="1"/>
      <c r="I161" s="1"/>
      <c r="J161" s="1"/>
      <c r="K161" s="1"/>
      <c r="L161" s="1"/>
      <c r="M161" s="1"/>
      <c r="N161" s="1"/>
      <c r="O161" s="1"/>
      <c r="P161" s="1"/>
      <c r="Q161" s="1"/>
      <c r="R161" s="1"/>
      <c r="S161" s="1"/>
      <c r="T161" s="1"/>
      <c r="U161" s="1"/>
      <c r="V161" s="1"/>
    </row>
    <row r="162" spans="1:22" ht="15" customHeight="1">
      <c r="A162" s="5"/>
      <c r="B162" s="1"/>
      <c r="C162" s="6"/>
      <c r="D162" s="6"/>
      <c r="E162" s="7"/>
      <c r="F162" s="6"/>
      <c r="G162" s="6"/>
      <c r="H162" s="1"/>
      <c r="I162" s="1"/>
      <c r="J162" s="1"/>
      <c r="K162" s="1"/>
      <c r="L162" s="1"/>
      <c r="M162" s="1"/>
      <c r="N162" s="1"/>
      <c r="O162" s="1"/>
      <c r="P162" s="1"/>
      <c r="Q162" s="1"/>
      <c r="R162" s="1"/>
      <c r="S162" s="1"/>
      <c r="T162" s="1"/>
      <c r="U162" s="1"/>
      <c r="V162" s="1"/>
    </row>
    <row r="163" spans="1:22" ht="15" customHeight="1">
      <c r="A163" s="5"/>
      <c r="B163" s="1"/>
      <c r="C163" s="6"/>
      <c r="D163" s="6"/>
      <c r="E163" s="7"/>
      <c r="F163" s="6"/>
      <c r="G163" s="6"/>
      <c r="H163" s="1"/>
      <c r="I163" s="1"/>
      <c r="J163" s="1"/>
      <c r="K163" s="1"/>
      <c r="L163" s="1"/>
      <c r="M163" s="1"/>
      <c r="N163" s="1"/>
      <c r="O163" s="1"/>
      <c r="P163" s="1"/>
      <c r="Q163" s="1"/>
      <c r="R163" s="1"/>
      <c r="S163" s="1"/>
      <c r="T163" s="1"/>
      <c r="U163" s="1"/>
      <c r="V163" s="1"/>
    </row>
    <row r="164" spans="1:22" ht="15" customHeight="1">
      <c r="A164" s="5"/>
      <c r="B164" s="1"/>
      <c r="C164" s="6"/>
      <c r="D164" s="6"/>
      <c r="E164" s="7"/>
      <c r="F164" s="6"/>
      <c r="G164" s="6"/>
      <c r="H164" s="1"/>
      <c r="I164" s="1"/>
      <c r="J164" s="1"/>
      <c r="K164" s="1"/>
      <c r="L164" s="1"/>
      <c r="M164" s="1"/>
      <c r="N164" s="1"/>
      <c r="O164" s="1"/>
      <c r="P164" s="1"/>
      <c r="Q164" s="1"/>
      <c r="R164" s="1"/>
      <c r="S164" s="1"/>
      <c r="T164" s="1"/>
      <c r="U164" s="1"/>
      <c r="V164" s="1"/>
    </row>
    <row r="165" spans="1:22" ht="15" customHeight="1">
      <c r="A165" s="5"/>
      <c r="B165" s="1"/>
      <c r="C165" s="6"/>
      <c r="D165" s="6"/>
      <c r="E165" s="7"/>
      <c r="F165" s="6"/>
      <c r="G165" s="6"/>
      <c r="H165" s="1"/>
      <c r="I165" s="1"/>
      <c r="J165" s="1"/>
      <c r="K165" s="1"/>
      <c r="L165" s="1"/>
      <c r="M165" s="1"/>
      <c r="N165" s="1"/>
      <c r="O165" s="1"/>
      <c r="P165" s="1"/>
      <c r="Q165" s="1"/>
      <c r="R165" s="1"/>
      <c r="S165" s="1"/>
      <c r="T165" s="1"/>
      <c r="U165" s="1"/>
      <c r="V165" s="1"/>
    </row>
    <row r="166" spans="1:22" ht="15" customHeight="1">
      <c r="A166" s="5"/>
      <c r="B166" s="1"/>
      <c r="C166" s="6"/>
      <c r="D166" s="6"/>
      <c r="E166" s="7"/>
      <c r="F166" s="6"/>
      <c r="G166" s="6"/>
      <c r="H166" s="1"/>
      <c r="I166" s="1"/>
      <c r="J166" s="1"/>
      <c r="K166" s="1"/>
      <c r="L166" s="1"/>
      <c r="M166" s="1"/>
      <c r="N166" s="1"/>
      <c r="O166" s="1"/>
      <c r="P166" s="1"/>
      <c r="Q166" s="1"/>
      <c r="R166" s="1"/>
      <c r="S166" s="1"/>
      <c r="T166" s="1"/>
      <c r="U166" s="1"/>
      <c r="V166" s="1"/>
    </row>
    <row r="167" spans="1:22" ht="15" customHeight="1">
      <c r="A167" s="5"/>
      <c r="B167" s="1"/>
      <c r="C167" s="6"/>
      <c r="D167" s="6"/>
      <c r="E167" s="7"/>
      <c r="F167" s="6"/>
      <c r="G167" s="6"/>
      <c r="H167" s="1"/>
      <c r="I167" s="1"/>
      <c r="J167" s="1"/>
      <c r="K167" s="1"/>
      <c r="L167" s="1"/>
      <c r="M167" s="1"/>
      <c r="N167" s="1"/>
      <c r="O167" s="1"/>
      <c r="P167" s="1"/>
      <c r="Q167" s="1"/>
      <c r="R167" s="1"/>
      <c r="S167" s="1"/>
      <c r="T167" s="1"/>
      <c r="U167" s="1"/>
      <c r="V167" s="1"/>
    </row>
    <row r="168" spans="1:22" ht="15" customHeight="1">
      <c r="A168" s="5"/>
      <c r="B168" s="1"/>
      <c r="C168" s="6"/>
      <c r="D168" s="6"/>
      <c r="E168" s="7"/>
      <c r="F168" s="6"/>
      <c r="G168" s="6"/>
      <c r="H168" s="1"/>
      <c r="I168" s="1"/>
      <c r="J168" s="1"/>
      <c r="K168" s="1"/>
      <c r="L168" s="1"/>
      <c r="M168" s="1"/>
      <c r="N168" s="1"/>
      <c r="O168" s="1"/>
      <c r="P168" s="1"/>
      <c r="Q168" s="1"/>
      <c r="R168" s="1"/>
      <c r="S168" s="1"/>
      <c r="T168" s="1"/>
      <c r="U168" s="1"/>
      <c r="V168" s="1"/>
    </row>
    <row r="169" spans="1:22" ht="15" customHeight="1">
      <c r="A169" s="5"/>
      <c r="B169" s="1"/>
      <c r="C169" s="6"/>
      <c r="D169" s="6"/>
      <c r="E169" s="7"/>
      <c r="F169" s="6"/>
      <c r="G169" s="6"/>
      <c r="H169" s="1"/>
      <c r="I169" s="1"/>
      <c r="J169" s="1"/>
      <c r="K169" s="1"/>
      <c r="L169" s="1"/>
      <c r="M169" s="1"/>
      <c r="N169" s="1"/>
      <c r="O169" s="1"/>
      <c r="P169" s="1"/>
      <c r="Q169" s="1"/>
      <c r="R169" s="1"/>
      <c r="S169" s="1"/>
      <c r="T169" s="1"/>
      <c r="U169" s="1"/>
      <c r="V169" s="1"/>
    </row>
    <row r="170" spans="1:22" ht="15" customHeight="1">
      <c r="A170" s="5"/>
      <c r="B170" s="1"/>
      <c r="C170" s="6"/>
      <c r="D170" s="6"/>
      <c r="E170" s="7"/>
      <c r="F170" s="6"/>
      <c r="G170" s="6"/>
      <c r="H170" s="1"/>
      <c r="I170" s="1"/>
      <c r="J170" s="1"/>
      <c r="K170" s="1"/>
      <c r="L170" s="1"/>
      <c r="M170" s="1"/>
      <c r="N170" s="1"/>
      <c r="O170" s="1"/>
      <c r="P170" s="1"/>
      <c r="Q170" s="1"/>
      <c r="R170" s="1"/>
      <c r="S170" s="1"/>
      <c r="T170" s="1"/>
      <c r="U170" s="1"/>
      <c r="V170" s="1"/>
    </row>
    <row r="171" spans="1:22" ht="15" customHeight="1">
      <c r="A171" s="5"/>
      <c r="B171" s="1"/>
      <c r="C171" s="6"/>
      <c r="D171" s="6"/>
      <c r="E171" s="7"/>
      <c r="F171" s="6"/>
      <c r="G171" s="6"/>
      <c r="H171" s="1"/>
      <c r="I171" s="1"/>
      <c r="J171" s="1"/>
      <c r="K171" s="1"/>
      <c r="L171" s="1"/>
      <c r="M171" s="1"/>
      <c r="N171" s="1"/>
      <c r="O171" s="1"/>
      <c r="P171" s="1"/>
      <c r="Q171" s="1"/>
      <c r="R171" s="1"/>
      <c r="S171" s="1"/>
      <c r="T171" s="1"/>
      <c r="U171" s="1"/>
      <c r="V171" s="1"/>
    </row>
    <row r="172" spans="1:22" ht="15" customHeight="1">
      <c r="A172" s="5"/>
      <c r="B172" s="1"/>
      <c r="C172" s="6"/>
      <c r="D172" s="6"/>
      <c r="E172" s="7"/>
      <c r="F172" s="6"/>
      <c r="G172" s="6"/>
      <c r="H172" s="1"/>
      <c r="I172" s="1"/>
      <c r="J172" s="1"/>
      <c r="K172" s="1"/>
      <c r="L172" s="1"/>
      <c r="M172" s="1"/>
      <c r="N172" s="1"/>
      <c r="O172" s="1"/>
      <c r="P172" s="1"/>
      <c r="Q172" s="1"/>
      <c r="R172" s="1"/>
      <c r="S172" s="1"/>
      <c r="T172" s="1"/>
      <c r="U172" s="1"/>
      <c r="V172" s="1"/>
    </row>
    <row r="173" spans="1:22" ht="15" customHeight="1">
      <c r="A173" s="5"/>
      <c r="B173" s="1"/>
      <c r="C173" s="6"/>
      <c r="D173" s="6"/>
      <c r="E173" s="7"/>
      <c r="F173" s="6"/>
      <c r="G173" s="6"/>
      <c r="H173" s="1"/>
      <c r="I173" s="1"/>
      <c r="J173" s="1"/>
      <c r="K173" s="1"/>
      <c r="L173" s="1"/>
      <c r="M173" s="1"/>
      <c r="N173" s="1"/>
      <c r="O173" s="1"/>
      <c r="P173" s="1"/>
      <c r="Q173" s="1"/>
      <c r="R173" s="1"/>
      <c r="S173" s="1"/>
      <c r="T173" s="1"/>
      <c r="U173" s="1"/>
      <c r="V173" s="1"/>
    </row>
    <row r="174" spans="1:22" ht="15" customHeight="1">
      <c r="A174" s="5"/>
      <c r="B174" s="1"/>
      <c r="C174" s="6"/>
      <c r="D174" s="6"/>
      <c r="E174" s="7"/>
      <c r="F174" s="6"/>
      <c r="G174" s="6"/>
      <c r="H174" s="1"/>
      <c r="I174" s="1"/>
      <c r="J174" s="1"/>
      <c r="K174" s="1"/>
      <c r="L174" s="1"/>
      <c r="M174" s="1"/>
      <c r="N174" s="1"/>
      <c r="O174" s="1"/>
      <c r="P174" s="1"/>
      <c r="Q174" s="1"/>
      <c r="R174" s="1"/>
      <c r="S174" s="1"/>
      <c r="T174" s="1"/>
      <c r="U174" s="1"/>
      <c r="V174" s="1"/>
    </row>
    <row r="175" spans="1:22" ht="15" customHeight="1">
      <c r="A175" s="5"/>
      <c r="B175" s="1"/>
      <c r="C175" s="6"/>
      <c r="D175" s="6"/>
      <c r="E175" s="7"/>
      <c r="F175" s="6"/>
      <c r="G175" s="6"/>
      <c r="H175" s="1"/>
      <c r="I175" s="1"/>
      <c r="J175" s="1"/>
      <c r="K175" s="1"/>
      <c r="L175" s="1"/>
      <c r="M175" s="1"/>
      <c r="N175" s="1"/>
      <c r="O175" s="1"/>
      <c r="P175" s="1"/>
      <c r="Q175" s="1"/>
      <c r="R175" s="1"/>
      <c r="S175" s="1"/>
      <c r="T175" s="1"/>
      <c r="U175" s="1"/>
      <c r="V175" s="1"/>
    </row>
    <row r="176" spans="1:22" ht="15" customHeight="1">
      <c r="A176" s="5"/>
      <c r="B176" s="1"/>
      <c r="C176" s="6"/>
      <c r="D176" s="6"/>
      <c r="E176" s="7"/>
      <c r="F176" s="6"/>
      <c r="G176" s="6"/>
      <c r="H176" s="1"/>
      <c r="I176" s="1"/>
      <c r="J176" s="1"/>
      <c r="K176" s="1"/>
      <c r="L176" s="1"/>
      <c r="M176" s="1"/>
      <c r="N176" s="1"/>
      <c r="O176" s="1"/>
      <c r="P176" s="1"/>
      <c r="Q176" s="1"/>
      <c r="R176" s="1"/>
      <c r="S176" s="1"/>
      <c r="T176" s="1"/>
      <c r="U176" s="1"/>
      <c r="V176" s="1"/>
    </row>
    <row r="177" spans="1:22" ht="15" customHeight="1">
      <c r="A177" s="5"/>
      <c r="B177" s="1"/>
      <c r="C177" s="6"/>
      <c r="D177" s="6"/>
      <c r="E177" s="7"/>
      <c r="F177" s="6"/>
      <c r="G177" s="6"/>
      <c r="H177" s="1"/>
      <c r="I177" s="1"/>
      <c r="J177" s="1"/>
      <c r="K177" s="1"/>
      <c r="L177" s="1"/>
      <c r="M177" s="1"/>
      <c r="N177" s="1"/>
      <c r="O177" s="1"/>
      <c r="P177" s="1"/>
      <c r="Q177" s="1"/>
      <c r="R177" s="1"/>
      <c r="S177" s="1"/>
      <c r="T177" s="1"/>
      <c r="U177" s="1"/>
      <c r="V177" s="1"/>
    </row>
    <row r="178" spans="1:22" ht="15" customHeight="1">
      <c r="A178" s="5"/>
      <c r="B178" s="1"/>
      <c r="C178" s="6"/>
      <c r="D178" s="6"/>
      <c r="E178" s="7"/>
      <c r="F178" s="6"/>
      <c r="G178" s="6"/>
      <c r="H178" s="1"/>
      <c r="I178" s="1"/>
      <c r="J178" s="1"/>
      <c r="K178" s="1"/>
      <c r="L178" s="1"/>
      <c r="M178" s="1"/>
      <c r="N178" s="1"/>
      <c r="O178" s="1"/>
      <c r="P178" s="1"/>
      <c r="Q178" s="1"/>
      <c r="R178" s="1"/>
      <c r="S178" s="1"/>
      <c r="T178" s="1"/>
      <c r="U178" s="1"/>
      <c r="V178" s="1"/>
    </row>
    <row r="179" spans="1:22" ht="15" customHeight="1">
      <c r="A179" s="5"/>
      <c r="B179" s="1"/>
      <c r="C179" s="6"/>
      <c r="D179" s="6"/>
      <c r="E179" s="7"/>
      <c r="F179" s="6"/>
      <c r="G179" s="6"/>
      <c r="H179" s="1"/>
      <c r="I179" s="1"/>
      <c r="J179" s="1"/>
      <c r="K179" s="1"/>
      <c r="L179" s="1"/>
      <c r="M179" s="1"/>
      <c r="N179" s="1"/>
      <c r="O179" s="1"/>
      <c r="P179" s="1"/>
      <c r="Q179" s="1"/>
      <c r="R179" s="1"/>
      <c r="S179" s="1"/>
      <c r="T179" s="1"/>
      <c r="U179" s="1"/>
      <c r="V179" s="1"/>
    </row>
    <row r="180" spans="1:22" ht="15" customHeight="1">
      <c r="A180" s="5"/>
      <c r="B180" s="1"/>
      <c r="C180" s="6"/>
      <c r="D180" s="6"/>
      <c r="E180" s="7"/>
      <c r="F180" s="6"/>
      <c r="G180" s="6"/>
      <c r="H180" s="1"/>
      <c r="I180" s="1"/>
      <c r="J180" s="1"/>
      <c r="K180" s="1"/>
      <c r="L180" s="1"/>
      <c r="M180" s="1"/>
      <c r="N180" s="1"/>
      <c r="O180" s="1"/>
      <c r="P180" s="1"/>
      <c r="Q180" s="1"/>
      <c r="R180" s="1"/>
      <c r="S180" s="1"/>
      <c r="T180" s="1"/>
      <c r="U180" s="1"/>
      <c r="V180" s="1"/>
    </row>
    <row r="181" spans="1:22" ht="15" customHeight="1">
      <c r="A181" s="5"/>
      <c r="B181" s="1"/>
      <c r="C181" s="6"/>
      <c r="D181" s="6"/>
      <c r="E181" s="7"/>
      <c r="F181" s="6"/>
      <c r="G181" s="6"/>
      <c r="H181" s="1"/>
      <c r="I181" s="1"/>
      <c r="J181" s="1"/>
      <c r="K181" s="1"/>
      <c r="L181" s="1"/>
      <c r="M181" s="1"/>
      <c r="N181" s="1"/>
      <c r="O181" s="1"/>
      <c r="P181" s="1"/>
      <c r="Q181" s="1"/>
      <c r="R181" s="1"/>
      <c r="S181" s="1"/>
      <c r="T181" s="1"/>
      <c r="U181" s="1"/>
      <c r="V181" s="1"/>
    </row>
    <row r="182" spans="1:22" ht="15" customHeight="1">
      <c r="A182" s="5"/>
      <c r="B182" s="1"/>
      <c r="C182" s="6"/>
      <c r="D182" s="6"/>
      <c r="E182" s="7"/>
      <c r="F182" s="6"/>
      <c r="G182" s="6"/>
      <c r="H182" s="1"/>
      <c r="I182" s="1"/>
      <c r="J182" s="1"/>
      <c r="K182" s="1"/>
      <c r="L182" s="1"/>
      <c r="M182" s="1"/>
      <c r="N182" s="1"/>
      <c r="O182" s="1"/>
      <c r="P182" s="1"/>
      <c r="Q182" s="1"/>
      <c r="R182" s="1"/>
      <c r="S182" s="1"/>
      <c r="T182" s="1"/>
      <c r="U182" s="1"/>
      <c r="V182" s="1"/>
    </row>
    <row r="183" spans="1:22" ht="15" customHeight="1">
      <c r="A183" s="5"/>
      <c r="B183" s="1"/>
      <c r="C183" s="6"/>
      <c r="D183" s="6"/>
      <c r="E183" s="7"/>
      <c r="F183" s="6"/>
      <c r="G183" s="6"/>
      <c r="H183" s="1"/>
      <c r="I183" s="1"/>
      <c r="J183" s="1"/>
      <c r="K183" s="1"/>
      <c r="L183" s="1"/>
      <c r="M183" s="1"/>
      <c r="N183" s="1"/>
      <c r="O183" s="1"/>
      <c r="P183" s="1"/>
      <c r="Q183" s="1"/>
      <c r="R183" s="1"/>
      <c r="S183" s="1"/>
      <c r="T183" s="1"/>
      <c r="U183" s="1"/>
      <c r="V183" s="1"/>
    </row>
    <row r="184" spans="1:22" ht="15" customHeight="1">
      <c r="A184" s="5"/>
      <c r="B184" s="1"/>
      <c r="C184" s="6"/>
      <c r="D184" s="6"/>
      <c r="E184" s="7"/>
      <c r="F184" s="6"/>
      <c r="G184" s="6"/>
      <c r="H184" s="1"/>
      <c r="I184" s="1"/>
      <c r="J184" s="1"/>
      <c r="K184" s="1"/>
      <c r="L184" s="1"/>
      <c r="M184" s="1"/>
      <c r="N184" s="1"/>
      <c r="O184" s="1"/>
      <c r="P184" s="1"/>
      <c r="Q184" s="1"/>
      <c r="R184" s="1"/>
      <c r="S184" s="1"/>
      <c r="T184" s="1"/>
      <c r="U184" s="1"/>
      <c r="V184" s="1"/>
    </row>
    <row r="185" spans="1:22" ht="15" customHeight="1">
      <c r="A185" s="5"/>
      <c r="B185" s="1"/>
      <c r="C185" s="6"/>
      <c r="D185" s="6"/>
      <c r="E185" s="7"/>
      <c r="F185" s="6"/>
      <c r="G185" s="6"/>
      <c r="H185" s="1"/>
      <c r="I185" s="1"/>
      <c r="J185" s="1"/>
      <c r="K185" s="1"/>
      <c r="L185" s="1"/>
      <c r="M185" s="1"/>
      <c r="N185" s="1"/>
      <c r="O185" s="1"/>
      <c r="P185" s="1"/>
      <c r="Q185" s="1"/>
      <c r="R185" s="1"/>
      <c r="S185" s="1"/>
      <c r="T185" s="1"/>
      <c r="U185" s="1"/>
      <c r="V185" s="1"/>
    </row>
    <row r="186" spans="1:22" ht="15" customHeight="1">
      <c r="A186" s="5"/>
      <c r="B186" s="1"/>
      <c r="C186" s="6"/>
      <c r="D186" s="6"/>
      <c r="E186" s="7"/>
      <c r="F186" s="6"/>
      <c r="G186" s="6"/>
      <c r="H186" s="1"/>
      <c r="I186" s="1"/>
      <c r="J186" s="1"/>
      <c r="K186" s="1"/>
      <c r="L186" s="1"/>
      <c r="M186" s="1"/>
      <c r="N186" s="1"/>
      <c r="O186" s="1"/>
      <c r="P186" s="1"/>
      <c r="Q186" s="1"/>
      <c r="R186" s="1"/>
      <c r="S186" s="1"/>
      <c r="T186" s="1"/>
      <c r="U186" s="1"/>
      <c r="V186" s="1"/>
    </row>
    <row r="187" spans="1:22" ht="15" customHeight="1">
      <c r="A187" s="5"/>
      <c r="B187" s="1"/>
      <c r="C187" s="6"/>
      <c r="D187" s="6"/>
      <c r="E187" s="7"/>
      <c r="F187" s="6"/>
      <c r="G187" s="6"/>
      <c r="H187" s="1"/>
      <c r="I187" s="1"/>
      <c r="J187" s="1"/>
      <c r="K187" s="1"/>
      <c r="L187" s="1"/>
      <c r="M187" s="1"/>
      <c r="N187" s="1"/>
      <c r="O187" s="1"/>
      <c r="P187" s="1"/>
      <c r="Q187" s="1"/>
      <c r="R187" s="1"/>
      <c r="S187" s="1"/>
      <c r="T187" s="1"/>
      <c r="U187" s="1"/>
      <c r="V187" s="1"/>
    </row>
    <row r="188" spans="1:22" ht="15" customHeight="1">
      <c r="A188" s="5"/>
      <c r="B188" s="1"/>
      <c r="C188" s="6"/>
      <c r="D188" s="6"/>
      <c r="E188" s="7"/>
      <c r="F188" s="6"/>
      <c r="G188" s="6"/>
      <c r="H188" s="1"/>
      <c r="I188" s="1"/>
      <c r="J188" s="1"/>
      <c r="K188" s="1"/>
      <c r="L188" s="1"/>
      <c r="M188" s="1"/>
      <c r="N188" s="1"/>
      <c r="O188" s="1"/>
      <c r="P188" s="1"/>
      <c r="Q188" s="1"/>
      <c r="R188" s="1"/>
      <c r="S188" s="1"/>
      <c r="T188" s="1"/>
      <c r="U188" s="1"/>
      <c r="V188" s="1"/>
    </row>
    <row r="189" spans="1:22" ht="15" customHeight="1">
      <c r="A189" s="5"/>
      <c r="B189" s="1"/>
      <c r="C189" s="6"/>
      <c r="D189" s="6"/>
      <c r="E189" s="7"/>
      <c r="F189" s="6"/>
      <c r="G189" s="6"/>
      <c r="H189" s="1"/>
      <c r="I189" s="1"/>
      <c r="J189" s="1"/>
      <c r="K189" s="1"/>
      <c r="L189" s="1"/>
      <c r="M189" s="1"/>
      <c r="N189" s="1"/>
      <c r="O189" s="1"/>
      <c r="P189" s="1"/>
      <c r="Q189" s="1"/>
      <c r="R189" s="1"/>
      <c r="S189" s="1"/>
      <c r="T189" s="1"/>
      <c r="U189" s="1"/>
      <c r="V189" s="1"/>
    </row>
    <row r="190" spans="1:22" ht="15" customHeight="1">
      <c r="A190" s="5"/>
      <c r="B190" s="1"/>
      <c r="C190" s="6"/>
      <c r="D190" s="6"/>
      <c r="E190" s="7"/>
      <c r="F190" s="6"/>
      <c r="G190" s="6"/>
      <c r="H190" s="1"/>
      <c r="I190" s="1"/>
      <c r="J190" s="1"/>
      <c r="K190" s="1"/>
      <c r="L190" s="1"/>
      <c r="M190" s="1"/>
      <c r="N190" s="1"/>
      <c r="O190" s="1"/>
      <c r="P190" s="1"/>
      <c r="Q190" s="1"/>
      <c r="R190" s="1"/>
      <c r="S190" s="1"/>
      <c r="T190" s="1"/>
      <c r="U190" s="1"/>
      <c r="V190" s="1"/>
    </row>
    <row r="191" spans="1:22" ht="15" customHeight="1">
      <c r="A191" s="5"/>
      <c r="B191" s="1"/>
      <c r="C191" s="6"/>
      <c r="D191" s="6"/>
      <c r="E191" s="7"/>
      <c r="F191" s="6"/>
      <c r="G191" s="6"/>
      <c r="H191" s="1"/>
      <c r="I191" s="1"/>
      <c r="J191" s="1"/>
      <c r="K191" s="1"/>
      <c r="L191" s="1"/>
      <c r="M191" s="1"/>
      <c r="N191" s="1"/>
      <c r="O191" s="1"/>
      <c r="P191" s="1"/>
      <c r="Q191" s="1"/>
      <c r="R191" s="1"/>
      <c r="S191" s="1"/>
      <c r="T191" s="1"/>
      <c r="U191" s="1"/>
      <c r="V191" s="1"/>
    </row>
    <row r="192" spans="1:22" ht="15" customHeight="1">
      <c r="A192" s="5"/>
      <c r="B192" s="1"/>
      <c r="C192" s="6"/>
      <c r="D192" s="6"/>
      <c r="E192" s="7"/>
      <c r="F192" s="6"/>
      <c r="G192" s="6"/>
      <c r="H192" s="1"/>
      <c r="I192" s="1"/>
      <c r="J192" s="1"/>
      <c r="K192" s="1"/>
      <c r="L192" s="1"/>
      <c r="M192" s="1"/>
      <c r="N192" s="1"/>
      <c r="O192" s="1"/>
      <c r="P192" s="1"/>
      <c r="Q192" s="1"/>
      <c r="R192" s="1"/>
      <c r="S192" s="1"/>
      <c r="T192" s="1"/>
      <c r="U192" s="1"/>
      <c r="V192" s="1"/>
    </row>
    <row r="193" spans="1:22" ht="15" customHeight="1">
      <c r="A193" s="5"/>
      <c r="B193" s="1"/>
      <c r="C193" s="6"/>
      <c r="D193" s="6"/>
      <c r="E193" s="7"/>
      <c r="F193" s="6"/>
      <c r="G193" s="6"/>
      <c r="H193" s="1"/>
      <c r="I193" s="1"/>
      <c r="J193" s="1"/>
      <c r="K193" s="1"/>
      <c r="L193" s="1"/>
      <c r="M193" s="1"/>
      <c r="N193" s="1"/>
      <c r="O193" s="1"/>
      <c r="P193" s="1"/>
      <c r="Q193" s="1"/>
      <c r="R193" s="1"/>
      <c r="S193" s="1"/>
      <c r="T193" s="1"/>
      <c r="U193" s="1"/>
      <c r="V193" s="1"/>
    </row>
    <row r="194" spans="1:22" ht="15" customHeight="1">
      <c r="A194" s="5"/>
      <c r="B194" s="1"/>
      <c r="C194" s="6"/>
      <c r="D194" s="6"/>
      <c r="E194" s="7"/>
      <c r="F194" s="6"/>
      <c r="G194" s="6"/>
      <c r="H194" s="1"/>
      <c r="I194" s="1"/>
      <c r="J194" s="1"/>
      <c r="K194" s="1"/>
      <c r="L194" s="1"/>
      <c r="M194" s="1"/>
      <c r="N194" s="1"/>
      <c r="O194" s="1"/>
      <c r="P194" s="1"/>
      <c r="Q194" s="1"/>
      <c r="R194" s="1"/>
      <c r="S194" s="1"/>
      <c r="T194" s="1"/>
      <c r="U194" s="1"/>
      <c r="V194" s="1"/>
    </row>
    <row r="195" spans="1:22" ht="15" customHeight="1">
      <c r="A195" s="5"/>
      <c r="B195" s="1"/>
      <c r="C195" s="6"/>
      <c r="D195" s="6"/>
      <c r="E195" s="7"/>
      <c r="F195" s="6"/>
      <c r="G195" s="6"/>
      <c r="H195" s="1"/>
      <c r="I195" s="1"/>
      <c r="J195" s="1"/>
      <c r="K195" s="1"/>
      <c r="L195" s="1"/>
      <c r="M195" s="1"/>
      <c r="N195" s="1"/>
      <c r="O195" s="1"/>
      <c r="P195" s="1"/>
      <c r="Q195" s="1"/>
      <c r="R195" s="1"/>
      <c r="S195" s="1"/>
      <c r="T195" s="1"/>
      <c r="U195" s="1"/>
      <c r="V195" s="1"/>
    </row>
    <row r="196" spans="1:22" ht="15" customHeight="1">
      <c r="A196" s="5"/>
      <c r="B196" s="1"/>
      <c r="C196" s="6"/>
      <c r="D196" s="6"/>
      <c r="E196" s="7"/>
      <c r="F196" s="6"/>
      <c r="G196" s="6"/>
      <c r="H196" s="1"/>
      <c r="I196" s="1"/>
      <c r="J196" s="1"/>
      <c r="K196" s="1"/>
      <c r="L196" s="1"/>
      <c r="M196" s="1"/>
      <c r="N196" s="1"/>
      <c r="O196" s="1"/>
      <c r="P196" s="1"/>
      <c r="Q196" s="1"/>
      <c r="R196" s="1"/>
      <c r="S196" s="1"/>
      <c r="T196" s="1"/>
      <c r="U196" s="1"/>
      <c r="V196" s="1"/>
    </row>
    <row r="197" spans="1:22" ht="15" customHeight="1">
      <c r="A197" s="5"/>
      <c r="B197" s="1"/>
      <c r="C197" s="6"/>
      <c r="D197" s="6"/>
      <c r="E197" s="7"/>
      <c r="F197" s="6"/>
      <c r="G197" s="6"/>
      <c r="H197" s="1"/>
      <c r="I197" s="1"/>
      <c r="J197" s="1"/>
      <c r="K197" s="1"/>
      <c r="L197" s="1"/>
      <c r="M197" s="1"/>
      <c r="N197" s="1"/>
      <c r="O197" s="1"/>
      <c r="P197" s="1"/>
      <c r="Q197" s="1"/>
      <c r="R197" s="1"/>
      <c r="S197" s="1"/>
      <c r="T197" s="1"/>
      <c r="U197" s="1"/>
      <c r="V197" s="1"/>
    </row>
    <row r="198" spans="1:22" ht="15" customHeight="1">
      <c r="A198" s="5"/>
      <c r="B198" s="1"/>
      <c r="C198" s="6"/>
      <c r="D198" s="6"/>
      <c r="E198" s="7"/>
      <c r="F198" s="6"/>
      <c r="G198" s="6"/>
      <c r="H198" s="1"/>
      <c r="I198" s="1"/>
      <c r="J198" s="1"/>
      <c r="K198" s="1"/>
      <c r="L198" s="1"/>
      <c r="M198" s="1"/>
      <c r="N198" s="1"/>
      <c r="O198" s="1"/>
      <c r="P198" s="1"/>
      <c r="Q198" s="1"/>
      <c r="R198" s="1"/>
      <c r="S198" s="1"/>
      <c r="T198" s="1"/>
      <c r="U198" s="1"/>
      <c r="V198" s="1"/>
    </row>
    <row r="199" spans="1:22" ht="15" customHeight="1">
      <c r="A199" s="5"/>
      <c r="B199" s="1"/>
      <c r="C199" s="6"/>
      <c r="D199" s="6"/>
      <c r="E199" s="7"/>
      <c r="F199" s="6"/>
      <c r="G199" s="6"/>
      <c r="H199" s="1"/>
      <c r="I199" s="1"/>
      <c r="J199" s="1"/>
      <c r="K199" s="1"/>
      <c r="L199" s="1"/>
      <c r="M199" s="1"/>
      <c r="N199" s="1"/>
      <c r="O199" s="1"/>
      <c r="P199" s="1"/>
      <c r="Q199" s="1"/>
      <c r="R199" s="1"/>
      <c r="S199" s="1"/>
      <c r="T199" s="1"/>
      <c r="U199" s="1"/>
      <c r="V199" s="1"/>
    </row>
    <row r="200" spans="1:22" ht="15" customHeight="1">
      <c r="A200" s="5"/>
      <c r="B200" s="1"/>
      <c r="C200" s="6"/>
      <c r="D200" s="6"/>
      <c r="E200" s="7"/>
      <c r="F200" s="6"/>
      <c r="G200" s="6"/>
      <c r="H200" s="1"/>
      <c r="I200" s="1"/>
      <c r="J200" s="1"/>
      <c r="K200" s="1"/>
      <c r="L200" s="1"/>
      <c r="M200" s="1"/>
      <c r="N200" s="1"/>
      <c r="O200" s="1"/>
      <c r="P200" s="1"/>
      <c r="Q200" s="1"/>
      <c r="R200" s="1"/>
      <c r="S200" s="1"/>
      <c r="T200" s="1"/>
      <c r="U200" s="1"/>
      <c r="V200" s="1"/>
    </row>
  </sheetData>
  <conditionalFormatting sqref="G9:G200">
    <cfRule type="expression" dxfId="7" priority="1">
      <formula>AND(G9&lt;&gt;"",G9&gt;0)</formula>
    </cfRule>
    <cfRule type="expression" dxfId="6" priority="2">
      <formula>AND(G9&lt;&gt;"",G9&lt;0)</formula>
    </cfRule>
    <cfRule type="expression" dxfId="5" priority="3">
      <formula>G9=0</formula>
    </cfRule>
  </conditionalFormatting>
  <conditionalFormatting sqref="R9:R200">
    <cfRule type="expression" dxfId="4" priority="4">
      <formula>R9="ADVANCE"</formula>
    </cfRule>
    <cfRule type="expression" dxfId="3" priority="5">
      <formula>R9="PASS"</formula>
    </cfRule>
  </conditionalFormatting>
  <conditionalFormatting sqref="S9:S200">
    <cfRule type="expression" dxfId="2" priority="6">
      <formula>S9="Standard share position"</formula>
    </cfRule>
    <cfRule type="expression" dxfId="1" priority="7">
      <formula>OR(S9="Very small share position",S9="Small share position",S9="Reduced share position")</formula>
    </cfRule>
    <cfRule type="expression" dxfId="0" priority="8">
      <formula>S9="Watch only"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2026-W18</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rosen</cp:lastModifiedBy>
  <dcterms:modified xsi:type="dcterms:W3CDTF">2026-04-29T12:15:16Z</dcterms:modified>
</cp:coreProperties>
</file>